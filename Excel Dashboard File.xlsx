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XIAOMI\Desktop\kpi\"/>
    </mc:Choice>
  </mc:AlternateContent>
  <xr:revisionPtr revIDLastSave="0" documentId="13_ncr:1_{4047023F-11D1-43BE-A553-6CFB8AD94C37}" xr6:coauthVersionLast="47" xr6:coauthVersionMax="47" xr10:uidLastSave="{00000000-0000-0000-0000-000000000000}"/>
  <bookViews>
    <workbookView xWindow="-98" yWindow="-98" windowWidth="19396" windowHeight="11475" activeTab="2" xr2:uid="{00000000-000D-0000-FFFF-FFFF00000000}"/>
  </bookViews>
  <sheets>
    <sheet name="PVT_Top5_Salespersons" sheetId="9" r:id="rId1"/>
    <sheet name="Top 5 Districts by Net Sales" sheetId="10" r:id="rId2"/>
    <sheet name="Sheet2" sheetId="17" r:id="rId3"/>
    <sheet name="Top 5 Products by Sum of Netsal" sheetId="12" r:id="rId4"/>
    <sheet name="PVT_Monthly_Performance" sheetId="13" r:id="rId5"/>
    <sheet name="PVT_Quarterly_Performance" sheetId="14" r:id="rId6"/>
    <sheet name="PVT_Performance_Benchmark" sheetId="15" r:id="rId7"/>
    <sheet name="Sales_Data" sheetId="1" r:id="rId8"/>
    <sheet name="Product_Master" sheetId="2" r:id="rId9"/>
    <sheet name="vlookup+match" sheetId="7" r:id="rId10"/>
    <sheet name="Employee_Master" sheetId="3" r:id="rId11"/>
    <sheet name="District_Master" sheetId="4" r:id="rId12"/>
    <sheet name="Monthly_Target" sheetId="5" r:id="rId13"/>
    <sheet name="Hlookup+match" sheetId="6" r:id="rId14"/>
    <sheet name="index+match" sheetId="8" r:id="rId15"/>
  </sheets>
  <definedNames>
    <definedName name="Slicer_Salesperson">#N/A</definedName>
  </definedNames>
  <calcPr calcId="191029"/>
  <pivotCaches>
    <pivotCache cacheId="0"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17" l="1"/>
  <c r="M5" i="17"/>
  <c r="G5" i="17"/>
  <c r="D5" i="17"/>
  <c r="A5" i="17"/>
  <c r="E7" i="14"/>
  <c r="E6" i="14"/>
  <c r="E5" i="14"/>
  <c r="E4" i="14"/>
  <c r="K6" i="15"/>
  <c r="N6" i="15" s="1"/>
  <c r="K7" i="15"/>
  <c r="N7" i="15" s="1"/>
  <c r="K8" i="15"/>
  <c r="N8" i="15" s="1"/>
  <c r="K5" i="15"/>
  <c r="N5" i="15" s="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D13" i="6"/>
  <c r="B7" i="5"/>
  <c r="B6" i="5"/>
  <c r="B14" i="2"/>
  <c r="B13" i="2"/>
  <c r="B4" i="8"/>
  <c r="B11" i="7"/>
  <c r="B10" i="7"/>
  <c r="B9" i="7"/>
  <c r="D10" i="6"/>
  <c r="D9" i="6"/>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C14" i="2"/>
  <c r="E13" i="6"/>
  <c r="C11" i="7"/>
  <c r="C6" i="5"/>
  <c r="C9" i="7"/>
  <c r="C4" i="8"/>
  <c r="C10" i="7"/>
  <c r="E10" i="6"/>
  <c r="C13" i="2"/>
  <c r="E9" i="6"/>
  <c r="C7" i="5"/>
</calcChain>
</file>

<file path=xl/sharedStrings.xml><?xml version="1.0" encoding="utf-8"?>
<sst xmlns="http://schemas.openxmlformats.org/spreadsheetml/2006/main" count="6151" uniqueCount="1023">
  <si>
    <t>Order_ID</t>
  </si>
  <si>
    <t>Customer_ID</t>
  </si>
  <si>
    <t>Order_Date</t>
  </si>
  <si>
    <t>Customer_Type</t>
  </si>
  <si>
    <t>District</t>
  </si>
  <si>
    <t>Salesperson</t>
  </si>
  <si>
    <t>Lead_Source</t>
  </si>
  <si>
    <t>Product_ID</t>
  </si>
  <si>
    <t>Product</t>
  </si>
  <si>
    <t>Category</t>
  </si>
  <si>
    <t>Quantity</t>
  </si>
  <si>
    <t>Unit_Price</t>
  </si>
  <si>
    <t>Discount_%</t>
  </si>
  <si>
    <t>Gross_Value</t>
  </si>
  <si>
    <t>Discount_Value</t>
  </si>
  <si>
    <t>Net_Sales</t>
  </si>
  <si>
    <t>Lead_Status</t>
  </si>
  <si>
    <t>Payment_Status</t>
  </si>
  <si>
    <t>Installation_Status</t>
  </si>
  <si>
    <t>Site_Visit_Days</t>
  </si>
  <si>
    <t>Installation_Days</t>
  </si>
  <si>
    <t>Customer_Rating</t>
  </si>
  <si>
    <t>Year</t>
  </si>
  <si>
    <t>FN10002</t>
  </si>
  <si>
    <t>CUST1002</t>
  </si>
  <si>
    <t>Commercial</t>
  </si>
  <si>
    <t>Coimbatore</t>
  </si>
  <si>
    <t>Divya</t>
  </si>
  <si>
    <t>Walk-in</t>
  </si>
  <si>
    <t>P008</t>
  </si>
  <si>
    <t>Soundproof Windows</t>
  </si>
  <si>
    <t>Windows</t>
  </si>
  <si>
    <t>Converted</t>
  </si>
  <si>
    <t>Paid</t>
  </si>
  <si>
    <t>In Progress</t>
  </si>
  <si>
    <t>Oct</t>
  </si>
  <si>
    <t>Q4</t>
  </si>
  <si>
    <t>FN10003</t>
  </si>
  <si>
    <t>CUST1003</t>
  </si>
  <si>
    <t>Chennai</t>
  </si>
  <si>
    <t>Rahul</t>
  </si>
  <si>
    <t>P006</t>
  </si>
  <si>
    <t>Bi-Fold Doors</t>
  </si>
  <si>
    <t>Doors</t>
  </si>
  <si>
    <t>Negotiation</t>
  </si>
  <si>
    <t>Completed</t>
  </si>
  <si>
    <t>Jun</t>
  </si>
  <si>
    <t>Q2</t>
  </si>
  <si>
    <t>FN10005</t>
  </si>
  <si>
    <t>CUST1005</t>
  </si>
  <si>
    <t>Sneha</t>
  </si>
  <si>
    <t>Google Ads</t>
  </si>
  <si>
    <t>P002</t>
  </si>
  <si>
    <t>Aluminium Windows</t>
  </si>
  <si>
    <t>Pending</t>
  </si>
  <si>
    <t>Feb</t>
  </si>
  <si>
    <t>Q1</t>
  </si>
  <si>
    <t>FN10008</t>
  </si>
  <si>
    <t>CUST1008</t>
  </si>
  <si>
    <t>Residential</t>
  </si>
  <si>
    <t>Madurai</t>
  </si>
  <si>
    <t>Meena</t>
  </si>
  <si>
    <t>P001</t>
  </si>
  <si>
    <t>uPVC Windows</t>
  </si>
  <si>
    <t>Site Visit</t>
  </si>
  <si>
    <t>Partially Paid</t>
  </si>
  <si>
    <t>Scheduled</t>
  </si>
  <si>
    <t>Nov</t>
  </si>
  <si>
    <t>FN10009</t>
  </si>
  <si>
    <t>CUST1009</t>
  </si>
  <si>
    <t>Tiruchirappalli</t>
  </si>
  <si>
    <t>Website</t>
  </si>
  <si>
    <t>May</t>
  </si>
  <si>
    <t>FN10010</t>
  </si>
  <si>
    <t>CUST1010</t>
  </si>
  <si>
    <t>P005</t>
  </si>
  <si>
    <t>Casement Windows</t>
  </si>
  <si>
    <t>Apr</t>
  </si>
  <si>
    <t>FN10011</t>
  </si>
  <si>
    <t>CUST1011</t>
  </si>
  <si>
    <t>FN10014</t>
  </si>
  <si>
    <t>CUST1014</t>
  </si>
  <si>
    <t>Vikram</t>
  </si>
  <si>
    <t>Referral</t>
  </si>
  <si>
    <t>P004</t>
  </si>
  <si>
    <t>French Doors</t>
  </si>
  <si>
    <t>FN10015</t>
  </si>
  <si>
    <t>CUST1015</t>
  </si>
  <si>
    <t>Instagram</t>
  </si>
  <si>
    <t>Sep</t>
  </si>
  <si>
    <t>Q3</t>
  </si>
  <si>
    <t>FN10017</t>
  </si>
  <si>
    <t>CUST1017</t>
  </si>
  <si>
    <t>Delayed</t>
  </si>
  <si>
    <t>FN10020</t>
  </si>
  <si>
    <t>CUST1020</t>
  </si>
  <si>
    <t>FN10024</t>
  </si>
  <si>
    <t>CUST1024</t>
  </si>
  <si>
    <t>New</t>
  </si>
  <si>
    <t>FN10026</t>
  </si>
  <si>
    <t>CUST1026</t>
  </si>
  <si>
    <t>P003</t>
  </si>
  <si>
    <t>Sliding Doors</t>
  </si>
  <si>
    <t>FN10028</t>
  </si>
  <si>
    <t>CUST1028</t>
  </si>
  <si>
    <t>FN10029</t>
  </si>
  <si>
    <t>CUST1029</t>
  </si>
  <si>
    <t>P007</t>
  </si>
  <si>
    <t>uPVC Doors</t>
  </si>
  <si>
    <t>FN10031</t>
  </si>
  <si>
    <t>CUST1031</t>
  </si>
  <si>
    <t>Priya</t>
  </si>
  <si>
    <t>Dealer</t>
  </si>
  <si>
    <t>Dec</t>
  </si>
  <si>
    <t>FN10032</t>
  </si>
  <si>
    <t>CUST1032</t>
  </si>
  <si>
    <t>Arun</t>
  </si>
  <si>
    <t>FN10034</t>
  </si>
  <si>
    <t>CUST1034</t>
  </si>
  <si>
    <t>Facebook</t>
  </si>
  <si>
    <t>FN10035</t>
  </si>
  <si>
    <t>CUST1035</t>
  </si>
  <si>
    <t>Lost</t>
  </si>
  <si>
    <t>Aug</t>
  </si>
  <si>
    <t>FN10037</t>
  </si>
  <si>
    <t>CUST1037</t>
  </si>
  <si>
    <t>FN10038</t>
  </si>
  <si>
    <t>CUST1038</t>
  </si>
  <si>
    <t>FN10039</t>
  </si>
  <si>
    <t>CUST1039</t>
  </si>
  <si>
    <t>Mar</t>
  </si>
  <si>
    <t>FN10040</t>
  </si>
  <si>
    <t>CUST1040</t>
  </si>
  <si>
    <t>FN10041</t>
  </si>
  <si>
    <t>CUST1041</t>
  </si>
  <si>
    <t>FN10046</t>
  </si>
  <si>
    <t>CUST1046</t>
  </si>
  <si>
    <t>FN10047</t>
  </si>
  <si>
    <t>CUST1047</t>
  </si>
  <si>
    <t>Karthik</t>
  </si>
  <si>
    <t>FN10048</t>
  </si>
  <si>
    <t>CUST1048</t>
  </si>
  <si>
    <t>FN10049</t>
  </si>
  <si>
    <t>CUST1049</t>
  </si>
  <si>
    <t>Jan</t>
  </si>
  <si>
    <t>FN10050</t>
  </si>
  <si>
    <t>CUST1050</t>
  </si>
  <si>
    <t>FN10051</t>
  </si>
  <si>
    <t>CUST1051</t>
  </si>
  <si>
    <t>FN10052</t>
  </si>
  <si>
    <t>CUST1052</t>
  </si>
  <si>
    <t>FN10053</t>
  </si>
  <si>
    <t>CUST1053</t>
  </si>
  <si>
    <t>FN10054</t>
  </si>
  <si>
    <t>CUST1054</t>
  </si>
  <si>
    <t>Jul</t>
  </si>
  <si>
    <t>FN10055</t>
  </si>
  <si>
    <t>CUST1055</t>
  </si>
  <si>
    <t>FN10056</t>
  </si>
  <si>
    <t>CUST1056</t>
  </si>
  <si>
    <t>FN10058</t>
  </si>
  <si>
    <t>CUST1058</t>
  </si>
  <si>
    <t>FN10059</t>
  </si>
  <si>
    <t>CUST1059</t>
  </si>
  <si>
    <t>FN10063</t>
  </si>
  <si>
    <t>CUST1063</t>
  </si>
  <si>
    <t>FN10064</t>
  </si>
  <si>
    <t>CUST1064</t>
  </si>
  <si>
    <t>FN10067</t>
  </si>
  <si>
    <t>CUST1067</t>
  </si>
  <si>
    <t>FN10071</t>
  </si>
  <si>
    <t>CUST1071</t>
  </si>
  <si>
    <t>FN10076</t>
  </si>
  <si>
    <t>CUST1076</t>
  </si>
  <si>
    <t>FN10079</t>
  </si>
  <si>
    <t>CUST1079</t>
  </si>
  <si>
    <t>FN10082</t>
  </si>
  <si>
    <t>CUST1082</t>
  </si>
  <si>
    <t>FN10083</t>
  </si>
  <si>
    <t>CUST1083</t>
  </si>
  <si>
    <t>FN10085</t>
  </si>
  <si>
    <t>CUST1085</t>
  </si>
  <si>
    <t>FN10087</t>
  </si>
  <si>
    <t>CUST1087</t>
  </si>
  <si>
    <t>FN10088</t>
  </si>
  <si>
    <t>CUST1088</t>
  </si>
  <si>
    <t>FN10094</t>
  </si>
  <si>
    <t>CUST1094</t>
  </si>
  <si>
    <t>FN10095</t>
  </si>
  <si>
    <t>CUST1095</t>
  </si>
  <si>
    <t>FN10096</t>
  </si>
  <si>
    <t>CUST1096</t>
  </si>
  <si>
    <t>FN10099</t>
  </si>
  <si>
    <t>CUST1099</t>
  </si>
  <si>
    <t>FN10103</t>
  </si>
  <si>
    <t>CUST1103</t>
  </si>
  <si>
    <t>FN10104</t>
  </si>
  <si>
    <t>CUST1104</t>
  </si>
  <si>
    <t>FN10106</t>
  </si>
  <si>
    <t>CUST1106</t>
  </si>
  <si>
    <t>FN10109</t>
  </si>
  <si>
    <t>CUST1109</t>
  </si>
  <si>
    <t>FN10112</t>
  </si>
  <si>
    <t>CUST1112</t>
  </si>
  <si>
    <t>FN10114</t>
  </si>
  <si>
    <t>CUST1114</t>
  </si>
  <si>
    <t>FN10115</t>
  </si>
  <si>
    <t>CUST1115</t>
  </si>
  <si>
    <t>FN10116</t>
  </si>
  <si>
    <t>CUST1116</t>
  </si>
  <si>
    <t>FN10118</t>
  </si>
  <si>
    <t>CUST1118</t>
  </si>
  <si>
    <t>FN10120</t>
  </si>
  <si>
    <t>CUST1120</t>
  </si>
  <si>
    <t>FN10122</t>
  </si>
  <si>
    <t>CUST1122</t>
  </si>
  <si>
    <t>FN10127</t>
  </si>
  <si>
    <t>CUST1127</t>
  </si>
  <si>
    <t>FN10129</t>
  </si>
  <si>
    <t>CUST1129</t>
  </si>
  <si>
    <t>FN10130</t>
  </si>
  <si>
    <t>CUST1130</t>
  </si>
  <si>
    <t>FN10131</t>
  </si>
  <si>
    <t>CUST1131</t>
  </si>
  <si>
    <t>FN10134</t>
  </si>
  <si>
    <t>CUST1134</t>
  </si>
  <si>
    <t>FN10135</t>
  </si>
  <si>
    <t>CUST1135</t>
  </si>
  <si>
    <t>FN10138</t>
  </si>
  <si>
    <t>CUST1138</t>
  </si>
  <si>
    <t>FN10139</t>
  </si>
  <si>
    <t>CUST1139</t>
  </si>
  <si>
    <t>FN10140</t>
  </si>
  <si>
    <t>CUST1140</t>
  </si>
  <si>
    <t>FN10143</t>
  </si>
  <si>
    <t>CUST1143</t>
  </si>
  <si>
    <t>FN10144</t>
  </si>
  <si>
    <t>CUST1144</t>
  </si>
  <si>
    <t>FN10146</t>
  </si>
  <si>
    <t>CUST1146</t>
  </si>
  <si>
    <t>FN10147</t>
  </si>
  <si>
    <t>CUST1147</t>
  </si>
  <si>
    <t>FN10148</t>
  </si>
  <si>
    <t>CUST1148</t>
  </si>
  <si>
    <t>FN10149</t>
  </si>
  <si>
    <t>CUST1149</t>
  </si>
  <si>
    <t>FN10151</t>
  </si>
  <si>
    <t>CUST1151</t>
  </si>
  <si>
    <t>FN10155</t>
  </si>
  <si>
    <t>CUST1155</t>
  </si>
  <si>
    <t>FN10156</t>
  </si>
  <si>
    <t>CUST1156</t>
  </si>
  <si>
    <t>FN10157</t>
  </si>
  <si>
    <t>CUST1157</t>
  </si>
  <si>
    <t>FN10158</t>
  </si>
  <si>
    <t>CUST1158</t>
  </si>
  <si>
    <t>FN10160</t>
  </si>
  <si>
    <t>CUST1160</t>
  </si>
  <si>
    <t>FN10164</t>
  </si>
  <si>
    <t>CUST1164</t>
  </si>
  <si>
    <t>FN10166</t>
  </si>
  <si>
    <t>CUST1166</t>
  </si>
  <si>
    <t>FN10167</t>
  </si>
  <si>
    <t>CUST1167</t>
  </si>
  <si>
    <t>FN10171</t>
  </si>
  <si>
    <t>CUST1171</t>
  </si>
  <si>
    <t>FN10173</t>
  </si>
  <si>
    <t>CUST1173</t>
  </si>
  <si>
    <t>FN10175</t>
  </si>
  <si>
    <t>CUST1175</t>
  </si>
  <si>
    <t>FN10177</t>
  </si>
  <si>
    <t>CUST1177</t>
  </si>
  <si>
    <t>FN10178</t>
  </si>
  <si>
    <t>CUST1178</t>
  </si>
  <si>
    <t>FN10180</t>
  </si>
  <si>
    <t>CUST1180</t>
  </si>
  <si>
    <t>FN10181</t>
  </si>
  <si>
    <t>CUST1181</t>
  </si>
  <si>
    <t>FN10183</t>
  </si>
  <si>
    <t>CUST1183</t>
  </si>
  <si>
    <t>FN10184</t>
  </si>
  <si>
    <t>CUST1184</t>
  </si>
  <si>
    <t>FN10185</t>
  </si>
  <si>
    <t>CUST1185</t>
  </si>
  <si>
    <t>FN10186</t>
  </si>
  <si>
    <t>CUST1186</t>
  </si>
  <si>
    <t>FN10187</t>
  </si>
  <si>
    <t>CUST1187</t>
  </si>
  <si>
    <t>FN10189</t>
  </si>
  <si>
    <t>CUST1189</t>
  </si>
  <si>
    <t>FN10192</t>
  </si>
  <si>
    <t>CUST1192</t>
  </si>
  <si>
    <t>FN10193</t>
  </si>
  <si>
    <t>CUST1193</t>
  </si>
  <si>
    <t>FN10194</t>
  </si>
  <si>
    <t>CUST1194</t>
  </si>
  <si>
    <t>FN10195</t>
  </si>
  <si>
    <t>CUST1195</t>
  </si>
  <si>
    <t>FN10196</t>
  </si>
  <si>
    <t>CUST1196</t>
  </si>
  <si>
    <t>FN10197</t>
  </si>
  <si>
    <t>CUST1197</t>
  </si>
  <si>
    <t>FN10199</t>
  </si>
  <si>
    <t>CUST1199</t>
  </si>
  <si>
    <t>FN10200</t>
  </si>
  <si>
    <t>CUST1200</t>
  </si>
  <si>
    <t>FN10201</t>
  </si>
  <si>
    <t>CUST1201</t>
  </si>
  <si>
    <t>FN10205</t>
  </si>
  <si>
    <t>CUST1205</t>
  </si>
  <si>
    <t>FN10207</t>
  </si>
  <si>
    <t>CUST1207</t>
  </si>
  <si>
    <t>FN10209</t>
  </si>
  <si>
    <t>CUST1209</t>
  </si>
  <si>
    <t>FN10211</t>
  </si>
  <si>
    <t>CUST1211</t>
  </si>
  <si>
    <t>FN10212</t>
  </si>
  <si>
    <t>CUST1212</t>
  </si>
  <si>
    <t>FN10213</t>
  </si>
  <si>
    <t>CUST1213</t>
  </si>
  <si>
    <t>FN10214</t>
  </si>
  <si>
    <t>CUST1214</t>
  </si>
  <si>
    <t>FN10215</t>
  </si>
  <si>
    <t>CUST1215</t>
  </si>
  <si>
    <t>FN10224</t>
  </si>
  <si>
    <t>CUST1224</t>
  </si>
  <si>
    <t>FN10226</t>
  </si>
  <si>
    <t>CUST1226</t>
  </si>
  <si>
    <t>FN10227</t>
  </si>
  <si>
    <t>CUST1227</t>
  </si>
  <si>
    <t>FN10231</t>
  </si>
  <si>
    <t>CUST1231</t>
  </si>
  <si>
    <t>FN10232</t>
  </si>
  <si>
    <t>CUST1232</t>
  </si>
  <si>
    <t>FN10234</t>
  </si>
  <si>
    <t>CUST1234</t>
  </si>
  <si>
    <t>FN10235</t>
  </si>
  <si>
    <t>CUST1235</t>
  </si>
  <si>
    <t>FN10236</t>
  </si>
  <si>
    <t>CUST1236</t>
  </si>
  <si>
    <t>FN10237</t>
  </si>
  <si>
    <t>CUST1237</t>
  </si>
  <si>
    <t>FN10238</t>
  </si>
  <si>
    <t>CUST1238</t>
  </si>
  <si>
    <t>FN10239</t>
  </si>
  <si>
    <t>CUST1239</t>
  </si>
  <si>
    <t>FN10240</t>
  </si>
  <si>
    <t>CUST1240</t>
  </si>
  <si>
    <t>FN10241</t>
  </si>
  <si>
    <t>CUST1241</t>
  </si>
  <si>
    <t>FN10243</t>
  </si>
  <si>
    <t>CUST1243</t>
  </si>
  <si>
    <t>FN10244</t>
  </si>
  <si>
    <t>CUST1244</t>
  </si>
  <si>
    <t>FN10246</t>
  </si>
  <si>
    <t>CUST1246</t>
  </si>
  <si>
    <t>FN10247</t>
  </si>
  <si>
    <t>CUST1247</t>
  </si>
  <si>
    <t>FN10250</t>
  </si>
  <si>
    <t>CUST1250</t>
  </si>
  <si>
    <t>FN10251</t>
  </si>
  <si>
    <t>CUST1251</t>
  </si>
  <si>
    <t>FN10252</t>
  </si>
  <si>
    <t>CUST1252</t>
  </si>
  <si>
    <t>FN10253</t>
  </si>
  <si>
    <t>CUST1253</t>
  </si>
  <si>
    <t>FN10258</t>
  </si>
  <si>
    <t>CUST1258</t>
  </si>
  <si>
    <t>FN10259</t>
  </si>
  <si>
    <t>CUST1259</t>
  </si>
  <si>
    <t>FN10262</t>
  </si>
  <si>
    <t>CUST1262</t>
  </si>
  <si>
    <t>FN10263</t>
  </si>
  <si>
    <t>CUST1263</t>
  </si>
  <si>
    <t>FN10265</t>
  </si>
  <si>
    <t>CUST1265</t>
  </si>
  <si>
    <t>FN10266</t>
  </si>
  <si>
    <t>CUST1266</t>
  </si>
  <si>
    <t>FN10267</t>
  </si>
  <si>
    <t>CUST1267</t>
  </si>
  <si>
    <t>FN10268</t>
  </si>
  <si>
    <t>CUST1268</t>
  </si>
  <si>
    <t>FN10273</t>
  </si>
  <si>
    <t>CUST1273</t>
  </si>
  <si>
    <t>FN10274</t>
  </si>
  <si>
    <t>CUST1274</t>
  </si>
  <si>
    <t>FN10277</t>
  </si>
  <si>
    <t>CUST1277</t>
  </si>
  <si>
    <t>FN10278</t>
  </si>
  <si>
    <t>CUST1278</t>
  </si>
  <si>
    <t>FN10279</t>
  </si>
  <si>
    <t>CUST1279</t>
  </si>
  <si>
    <t>FN10281</t>
  </si>
  <si>
    <t>CUST1281</t>
  </si>
  <si>
    <t>FN10282</t>
  </si>
  <si>
    <t>CUST1282</t>
  </si>
  <si>
    <t>FN10284</t>
  </si>
  <si>
    <t>CUST1284</t>
  </si>
  <si>
    <t>FN10286</t>
  </si>
  <si>
    <t>CUST1286</t>
  </si>
  <si>
    <t>FN10287</t>
  </si>
  <si>
    <t>CUST1287</t>
  </si>
  <si>
    <t>FN10291</t>
  </si>
  <si>
    <t>CUST1291</t>
  </si>
  <si>
    <t>FN10292</t>
  </si>
  <si>
    <t>CUST1292</t>
  </si>
  <si>
    <t>FN10294</t>
  </si>
  <si>
    <t>CUST1294</t>
  </si>
  <si>
    <t>FN10295</t>
  </si>
  <si>
    <t>CUST1295</t>
  </si>
  <si>
    <t>FN10301</t>
  </si>
  <si>
    <t>CUST1301</t>
  </si>
  <si>
    <t>FN10303</t>
  </si>
  <si>
    <t>CUST1303</t>
  </si>
  <si>
    <t>FN10306</t>
  </si>
  <si>
    <t>CUST1306</t>
  </si>
  <si>
    <t>FN10310</t>
  </si>
  <si>
    <t>CUST1310</t>
  </si>
  <si>
    <t>FN10311</t>
  </si>
  <si>
    <t>CUST1311</t>
  </si>
  <si>
    <t>FN10312</t>
  </si>
  <si>
    <t>CUST1312</t>
  </si>
  <si>
    <t>FN10313</t>
  </si>
  <si>
    <t>CUST1313</t>
  </si>
  <si>
    <t>FN10315</t>
  </si>
  <si>
    <t>CUST1315</t>
  </si>
  <si>
    <t>FN10318</t>
  </si>
  <si>
    <t>CUST1318</t>
  </si>
  <si>
    <t>FN10321</t>
  </si>
  <si>
    <t>CUST1321</t>
  </si>
  <si>
    <t>FN10327</t>
  </si>
  <si>
    <t>CUST1327</t>
  </si>
  <si>
    <t>FN10328</t>
  </si>
  <si>
    <t>CUST1328</t>
  </si>
  <si>
    <t>FN10329</t>
  </si>
  <si>
    <t>CUST1329</t>
  </si>
  <si>
    <t>FN10331</t>
  </si>
  <si>
    <t>CUST1331</t>
  </si>
  <si>
    <t>FN10334</t>
  </si>
  <si>
    <t>CUST1334</t>
  </si>
  <si>
    <t>FN10335</t>
  </si>
  <si>
    <t>CUST1335</t>
  </si>
  <si>
    <t>FN10336</t>
  </si>
  <si>
    <t>CUST1336</t>
  </si>
  <si>
    <t>FN10337</t>
  </si>
  <si>
    <t>CUST1337</t>
  </si>
  <si>
    <t>FN10340</t>
  </si>
  <si>
    <t>CUST1340</t>
  </si>
  <si>
    <t>FN10341</t>
  </si>
  <si>
    <t>CUST1341</t>
  </si>
  <si>
    <t>FN10342</t>
  </si>
  <si>
    <t>CUST1342</t>
  </si>
  <si>
    <t>FN10343</t>
  </si>
  <si>
    <t>CUST1343</t>
  </si>
  <si>
    <t>FN10345</t>
  </si>
  <si>
    <t>CUST1345</t>
  </si>
  <si>
    <t>FN10346</t>
  </si>
  <si>
    <t>CUST1346</t>
  </si>
  <si>
    <t>FN10350</t>
  </si>
  <si>
    <t>CUST1350</t>
  </si>
  <si>
    <t>FN10351</t>
  </si>
  <si>
    <t>CUST1351</t>
  </si>
  <si>
    <t>FN10352</t>
  </si>
  <si>
    <t>CUST1352</t>
  </si>
  <si>
    <t>FN10353</t>
  </si>
  <si>
    <t>CUST1353</t>
  </si>
  <si>
    <t>FN10355</t>
  </si>
  <si>
    <t>CUST1355</t>
  </si>
  <si>
    <t>FN10356</t>
  </si>
  <si>
    <t>CUST1356</t>
  </si>
  <si>
    <t>FN10358</t>
  </si>
  <si>
    <t>CUST1358</t>
  </si>
  <si>
    <t>FN10359</t>
  </si>
  <si>
    <t>CUST1359</t>
  </si>
  <si>
    <t>FN10362</t>
  </si>
  <si>
    <t>CUST1362</t>
  </si>
  <si>
    <t>FN10363</t>
  </si>
  <si>
    <t>CUST1363</t>
  </si>
  <si>
    <t>FN10364</t>
  </si>
  <si>
    <t>CUST1364</t>
  </si>
  <si>
    <t>FN10369</t>
  </si>
  <si>
    <t>CUST1369</t>
  </si>
  <si>
    <t>FN10376</t>
  </si>
  <si>
    <t>CUST1376</t>
  </si>
  <si>
    <t>FN10379</t>
  </si>
  <si>
    <t>CUST1379</t>
  </si>
  <si>
    <t>FN10382</t>
  </si>
  <si>
    <t>CUST1382</t>
  </si>
  <si>
    <t>FN10383</t>
  </si>
  <si>
    <t>CUST1383</t>
  </si>
  <si>
    <t>FN10384</t>
  </si>
  <si>
    <t>CUST1384</t>
  </si>
  <si>
    <t>FN10385</t>
  </si>
  <si>
    <t>CUST1385</t>
  </si>
  <si>
    <t>FN10386</t>
  </si>
  <si>
    <t>CUST1386</t>
  </si>
  <si>
    <t>FN10387</t>
  </si>
  <si>
    <t>CUST1387</t>
  </si>
  <si>
    <t>FN10388</t>
  </si>
  <si>
    <t>CUST1388</t>
  </si>
  <si>
    <t>FN10390</t>
  </si>
  <si>
    <t>CUST1390</t>
  </si>
  <si>
    <t>FN10392</t>
  </si>
  <si>
    <t>CUST1392</t>
  </si>
  <si>
    <t>FN10393</t>
  </si>
  <si>
    <t>CUST1393</t>
  </si>
  <si>
    <t>FN10397</t>
  </si>
  <si>
    <t>CUST1397</t>
  </si>
  <si>
    <t>FN10399</t>
  </si>
  <si>
    <t>CUST1399</t>
  </si>
  <si>
    <t>FN10404</t>
  </si>
  <si>
    <t>CUST1404</t>
  </si>
  <si>
    <t>FN10405</t>
  </si>
  <si>
    <t>CUST1405</t>
  </si>
  <si>
    <t>FN10407</t>
  </si>
  <si>
    <t>CUST1407</t>
  </si>
  <si>
    <t>FN10408</t>
  </si>
  <si>
    <t>CUST1408</t>
  </si>
  <si>
    <t>FN10409</t>
  </si>
  <si>
    <t>CUST1409</t>
  </si>
  <si>
    <t>FN10411</t>
  </si>
  <si>
    <t>CUST1411</t>
  </si>
  <si>
    <t>FN10412</t>
  </si>
  <si>
    <t>CUST1412</t>
  </si>
  <si>
    <t>FN10413</t>
  </si>
  <si>
    <t>CUST1413</t>
  </si>
  <si>
    <t>FN10414</t>
  </si>
  <si>
    <t>CUST1414</t>
  </si>
  <si>
    <t>FN10417</t>
  </si>
  <si>
    <t>CUST1417</t>
  </si>
  <si>
    <t>FN10420</t>
  </si>
  <si>
    <t>CUST1420</t>
  </si>
  <si>
    <t>FN10421</t>
  </si>
  <si>
    <t>CUST1421</t>
  </si>
  <si>
    <t>FN10422</t>
  </si>
  <si>
    <t>CUST1422</t>
  </si>
  <si>
    <t>FN10423</t>
  </si>
  <si>
    <t>CUST1423</t>
  </si>
  <si>
    <t>FN10424</t>
  </si>
  <si>
    <t>CUST1424</t>
  </si>
  <si>
    <t>FN10425</t>
  </si>
  <si>
    <t>CUST1425</t>
  </si>
  <si>
    <t>FN10426</t>
  </si>
  <si>
    <t>CUST1426</t>
  </si>
  <si>
    <t>FN10430</t>
  </si>
  <si>
    <t>CUST1430</t>
  </si>
  <si>
    <t>FN10431</t>
  </si>
  <si>
    <t>CUST1431</t>
  </si>
  <si>
    <t>FN10432</t>
  </si>
  <si>
    <t>CUST1432</t>
  </si>
  <si>
    <t>FN10436</t>
  </si>
  <si>
    <t>CUST1436</t>
  </si>
  <si>
    <t>FN10438</t>
  </si>
  <si>
    <t>CUST1438</t>
  </si>
  <si>
    <t>FN10440</t>
  </si>
  <si>
    <t>CUST1440</t>
  </si>
  <si>
    <t>FN10442</t>
  </si>
  <si>
    <t>CUST1442</t>
  </si>
  <si>
    <t>FN10443</t>
  </si>
  <si>
    <t>CUST1443</t>
  </si>
  <si>
    <t>FN10444</t>
  </si>
  <si>
    <t>CUST1444</t>
  </si>
  <si>
    <t>FN10445</t>
  </si>
  <si>
    <t>CUST1445</t>
  </si>
  <si>
    <t>FN10451</t>
  </si>
  <si>
    <t>CUST1451</t>
  </si>
  <si>
    <t>FN10452</t>
  </si>
  <si>
    <t>CUST1452</t>
  </si>
  <si>
    <t>FN10455</t>
  </si>
  <si>
    <t>CUST1455</t>
  </si>
  <si>
    <t>FN10457</t>
  </si>
  <si>
    <t>CUST1457</t>
  </si>
  <si>
    <t>FN10459</t>
  </si>
  <si>
    <t>CUST1459</t>
  </si>
  <si>
    <t>FN10464</t>
  </si>
  <si>
    <t>CUST1464</t>
  </si>
  <si>
    <t>FN10465</t>
  </si>
  <si>
    <t>CUST1465</t>
  </si>
  <si>
    <t>FN10467</t>
  </si>
  <si>
    <t>CUST1467</t>
  </si>
  <si>
    <t>FN10468</t>
  </si>
  <si>
    <t>CUST1468</t>
  </si>
  <si>
    <t>FN10472</t>
  </si>
  <si>
    <t>CUST1472</t>
  </si>
  <si>
    <t>FN10473</t>
  </si>
  <si>
    <t>CUST1473</t>
  </si>
  <si>
    <t>FN10475</t>
  </si>
  <si>
    <t>CUST1475</t>
  </si>
  <si>
    <t>FN10476</t>
  </si>
  <si>
    <t>CUST1476</t>
  </si>
  <si>
    <t>FN10478</t>
  </si>
  <si>
    <t>CUST1478</t>
  </si>
  <si>
    <t>FN10479</t>
  </si>
  <si>
    <t>CUST1479</t>
  </si>
  <si>
    <t>FN10480</t>
  </si>
  <si>
    <t>CUST1480</t>
  </si>
  <si>
    <t>FN10481</t>
  </si>
  <si>
    <t>CUST1481</t>
  </si>
  <si>
    <t>FN10482</t>
  </si>
  <si>
    <t>CUST1482</t>
  </si>
  <si>
    <t>FN10487</t>
  </si>
  <si>
    <t>CUST1487</t>
  </si>
  <si>
    <t>FN10490</t>
  </si>
  <si>
    <t>CUST1490</t>
  </si>
  <si>
    <t>FN10491</t>
  </si>
  <si>
    <t>CUST1491</t>
  </si>
  <si>
    <t>FN10492</t>
  </si>
  <si>
    <t>CUST1492</t>
  </si>
  <si>
    <t>FN10494</t>
  </si>
  <si>
    <t>CUST1494</t>
  </si>
  <si>
    <t>FN10495</t>
  </si>
  <si>
    <t>CUST1495</t>
  </si>
  <si>
    <t>FN10496</t>
  </si>
  <si>
    <t>CUST1496</t>
  </si>
  <si>
    <t>FN10497</t>
  </si>
  <si>
    <t>CUST1497</t>
  </si>
  <si>
    <t>FN10499</t>
  </si>
  <si>
    <t>CUST1499</t>
  </si>
  <si>
    <t>FN10503</t>
  </si>
  <si>
    <t>CUST1503</t>
  </si>
  <si>
    <t>FN10504</t>
  </si>
  <si>
    <t>CUST1504</t>
  </si>
  <si>
    <t>FN10505</t>
  </si>
  <si>
    <t>CUST1505</t>
  </si>
  <si>
    <t>FN10506</t>
  </si>
  <si>
    <t>CUST1506</t>
  </si>
  <si>
    <t>FN10507</t>
  </si>
  <si>
    <t>CUST1507</t>
  </si>
  <si>
    <t>FN10511</t>
  </si>
  <si>
    <t>CUST1511</t>
  </si>
  <si>
    <t>FN10512</t>
  </si>
  <si>
    <t>CUST1512</t>
  </si>
  <si>
    <t>FN10513</t>
  </si>
  <si>
    <t>CUST1513</t>
  </si>
  <si>
    <t>FN10514</t>
  </si>
  <si>
    <t>CUST1514</t>
  </si>
  <si>
    <t>FN10515</t>
  </si>
  <si>
    <t>CUST1515</t>
  </si>
  <si>
    <t>FN10516</t>
  </si>
  <si>
    <t>CUST1516</t>
  </si>
  <si>
    <t>FN10518</t>
  </si>
  <si>
    <t>CUST1518</t>
  </si>
  <si>
    <t>FN10520</t>
  </si>
  <si>
    <t>CUST1520</t>
  </si>
  <si>
    <t>FN10524</t>
  </si>
  <si>
    <t>CUST1524</t>
  </si>
  <si>
    <t>FN10525</t>
  </si>
  <si>
    <t>CUST1525</t>
  </si>
  <si>
    <t>FN10526</t>
  </si>
  <si>
    <t>CUST1526</t>
  </si>
  <si>
    <t>FN10528</t>
  </si>
  <si>
    <t>CUST1528</t>
  </si>
  <si>
    <t>FN10530</t>
  </si>
  <si>
    <t>CUST1530</t>
  </si>
  <si>
    <t>FN10531</t>
  </si>
  <si>
    <t>CUST1531</t>
  </si>
  <si>
    <t>FN10532</t>
  </si>
  <si>
    <t>CUST1532</t>
  </si>
  <si>
    <t>FN10533</t>
  </si>
  <si>
    <t>CUST1533</t>
  </si>
  <si>
    <t>FN10534</t>
  </si>
  <si>
    <t>CUST1534</t>
  </si>
  <si>
    <t>FN10536</t>
  </si>
  <si>
    <t>CUST1536</t>
  </si>
  <si>
    <t>FN10537</t>
  </si>
  <si>
    <t>CUST1537</t>
  </si>
  <si>
    <t>FN10538</t>
  </si>
  <si>
    <t>CUST1538</t>
  </si>
  <si>
    <t>FN10539</t>
  </si>
  <si>
    <t>CUST1539</t>
  </si>
  <si>
    <t>FN10541</t>
  </si>
  <si>
    <t>CUST1541</t>
  </si>
  <si>
    <t>FN10542</t>
  </si>
  <si>
    <t>CUST1542</t>
  </si>
  <si>
    <t>FN10545</t>
  </si>
  <si>
    <t>CUST1545</t>
  </si>
  <si>
    <t>FN10548</t>
  </si>
  <si>
    <t>CUST1548</t>
  </si>
  <si>
    <t>FN10551</t>
  </si>
  <si>
    <t>CUST1551</t>
  </si>
  <si>
    <t>FN10553</t>
  </si>
  <si>
    <t>CUST1553</t>
  </si>
  <si>
    <t>FN10555</t>
  </si>
  <si>
    <t>CUST1555</t>
  </si>
  <si>
    <t>FN10557</t>
  </si>
  <si>
    <t>CUST1557</t>
  </si>
  <si>
    <t>FN10558</t>
  </si>
  <si>
    <t>CUST1558</t>
  </si>
  <si>
    <t>FN10560</t>
  </si>
  <si>
    <t>CUST1560</t>
  </si>
  <si>
    <t>FN10562</t>
  </si>
  <si>
    <t>CUST1562</t>
  </si>
  <si>
    <t>FN10570</t>
  </si>
  <si>
    <t>CUST1570</t>
  </si>
  <si>
    <t>FN10571</t>
  </si>
  <si>
    <t>CUST1571</t>
  </si>
  <si>
    <t>FN10575</t>
  </si>
  <si>
    <t>CUST1575</t>
  </si>
  <si>
    <t>FN10579</t>
  </si>
  <si>
    <t>CUST1579</t>
  </si>
  <si>
    <t>FN10580</t>
  </si>
  <si>
    <t>CUST1580</t>
  </si>
  <si>
    <t>FN10581</t>
  </si>
  <si>
    <t>CUST1581</t>
  </si>
  <si>
    <t>FN10582</t>
  </si>
  <si>
    <t>CUST1582</t>
  </si>
  <si>
    <t>FN10583</t>
  </si>
  <si>
    <t>CUST1583</t>
  </si>
  <si>
    <t>FN10584</t>
  </si>
  <si>
    <t>CUST1584</t>
  </si>
  <si>
    <t>FN10588</t>
  </si>
  <si>
    <t>CUST1588</t>
  </si>
  <si>
    <t>FN10591</t>
  </si>
  <si>
    <t>CUST1591</t>
  </si>
  <si>
    <t>FN10594</t>
  </si>
  <si>
    <t>CUST1594</t>
  </si>
  <si>
    <t>FN10595</t>
  </si>
  <si>
    <t>CUST1595</t>
  </si>
  <si>
    <t>FN10599</t>
  </si>
  <si>
    <t>CUST1599</t>
  </si>
  <si>
    <t>FN10600</t>
  </si>
  <si>
    <t>CUST1600</t>
  </si>
  <si>
    <t>FN10601</t>
  </si>
  <si>
    <t>CUST1601</t>
  </si>
  <si>
    <t>FN10604</t>
  </si>
  <si>
    <t>CUST1604</t>
  </si>
  <si>
    <t>FN10605</t>
  </si>
  <si>
    <t>CUST1605</t>
  </si>
  <si>
    <t>FN10606</t>
  </si>
  <si>
    <t>CUST1606</t>
  </si>
  <si>
    <t>FN10611</t>
  </si>
  <si>
    <t>CUST1611</t>
  </si>
  <si>
    <t>FN10613</t>
  </si>
  <si>
    <t>CUST1613</t>
  </si>
  <si>
    <t>FN10614</t>
  </si>
  <si>
    <t>CUST1614</t>
  </si>
  <si>
    <t>FN10615</t>
  </si>
  <si>
    <t>CUST1615</t>
  </si>
  <si>
    <t>FN10618</t>
  </si>
  <si>
    <t>CUST1618</t>
  </si>
  <si>
    <t>FN10619</t>
  </si>
  <si>
    <t>CUST1619</t>
  </si>
  <si>
    <t>FN10621</t>
  </si>
  <si>
    <t>CUST1621</t>
  </si>
  <si>
    <t>FN10622</t>
  </si>
  <si>
    <t>CUST1622</t>
  </si>
  <si>
    <t>FN10626</t>
  </si>
  <si>
    <t>CUST1626</t>
  </si>
  <si>
    <t>FN10627</t>
  </si>
  <si>
    <t>CUST1627</t>
  </si>
  <si>
    <t>FN10628</t>
  </si>
  <si>
    <t>CUST1628</t>
  </si>
  <si>
    <t>FN10630</t>
  </si>
  <si>
    <t>CUST1630</t>
  </si>
  <si>
    <t>FN10632</t>
  </si>
  <si>
    <t>CUST1632</t>
  </si>
  <si>
    <t>FN10637</t>
  </si>
  <si>
    <t>CUST1637</t>
  </si>
  <si>
    <t>FN10638</t>
  </si>
  <si>
    <t>CUST1638</t>
  </si>
  <si>
    <t>FN10640</t>
  </si>
  <si>
    <t>CUST1640</t>
  </si>
  <si>
    <t>FN10641</t>
  </si>
  <si>
    <t>CUST1641</t>
  </si>
  <si>
    <t>FN10642</t>
  </si>
  <si>
    <t>CUST1642</t>
  </si>
  <si>
    <t>FN10643</t>
  </si>
  <si>
    <t>CUST1643</t>
  </si>
  <si>
    <t>FN10644</t>
  </si>
  <si>
    <t>CUST1644</t>
  </si>
  <si>
    <t>FN10646</t>
  </si>
  <si>
    <t>CUST1646</t>
  </si>
  <si>
    <t>FN10650</t>
  </si>
  <si>
    <t>CUST1650</t>
  </si>
  <si>
    <t>FN10652</t>
  </si>
  <si>
    <t>CUST1652</t>
  </si>
  <si>
    <t>FN10653</t>
  </si>
  <si>
    <t>CUST1653</t>
  </si>
  <si>
    <t>FN10654</t>
  </si>
  <si>
    <t>CUST1654</t>
  </si>
  <si>
    <t>FN10656</t>
  </si>
  <si>
    <t>CUST1656</t>
  </si>
  <si>
    <t>FN10657</t>
  </si>
  <si>
    <t>CUST1657</t>
  </si>
  <si>
    <t>FN10658</t>
  </si>
  <si>
    <t>CUST1658</t>
  </si>
  <si>
    <t>FN10659</t>
  </si>
  <si>
    <t>CUST1659</t>
  </si>
  <si>
    <t>FN10661</t>
  </si>
  <si>
    <t>CUST1661</t>
  </si>
  <si>
    <t>FN10664</t>
  </si>
  <si>
    <t>CUST1664</t>
  </si>
  <si>
    <t>FN10665</t>
  </si>
  <si>
    <t>CUST1665</t>
  </si>
  <si>
    <t>FN10669</t>
  </si>
  <si>
    <t>CUST1669</t>
  </si>
  <si>
    <t>FN10671</t>
  </si>
  <si>
    <t>CUST1671</t>
  </si>
  <si>
    <t>FN10672</t>
  </si>
  <si>
    <t>CUST1672</t>
  </si>
  <si>
    <t>FN10673</t>
  </si>
  <si>
    <t>CUST1673</t>
  </si>
  <si>
    <t>FN10675</t>
  </si>
  <si>
    <t>CUST1675</t>
  </si>
  <si>
    <t>FN10676</t>
  </si>
  <si>
    <t>CUST1676</t>
  </si>
  <si>
    <t>FN10677</t>
  </si>
  <si>
    <t>CUST1677</t>
  </si>
  <si>
    <t>FN10678</t>
  </si>
  <si>
    <t>CUST1678</t>
  </si>
  <si>
    <t>FN10679</t>
  </si>
  <si>
    <t>CUST1679</t>
  </si>
  <si>
    <t>FN10680</t>
  </si>
  <si>
    <t>CUST1680</t>
  </si>
  <si>
    <t>FN10682</t>
  </si>
  <si>
    <t>CUST1682</t>
  </si>
  <si>
    <t>FN10683</t>
  </si>
  <si>
    <t>CUST1683</t>
  </si>
  <si>
    <t>FN10688</t>
  </si>
  <si>
    <t>CUST1688</t>
  </si>
  <si>
    <t>FN10689</t>
  </si>
  <si>
    <t>CUST1689</t>
  </si>
  <si>
    <t>FN10698</t>
  </si>
  <si>
    <t>CUST1698</t>
  </si>
  <si>
    <t>FN10699</t>
  </si>
  <si>
    <t>CUST1699</t>
  </si>
  <si>
    <t>FN10700</t>
  </si>
  <si>
    <t>CUST1700</t>
  </si>
  <si>
    <t>FN10701</t>
  </si>
  <si>
    <t>CUST1701</t>
  </si>
  <si>
    <t>FN10702</t>
  </si>
  <si>
    <t>CUST1702</t>
  </si>
  <si>
    <t>FN10703</t>
  </si>
  <si>
    <t>CUST1703</t>
  </si>
  <si>
    <t>FN10704</t>
  </si>
  <si>
    <t>CUST1704</t>
  </si>
  <si>
    <t>FN10707</t>
  </si>
  <si>
    <t>CUST1707</t>
  </si>
  <si>
    <t>FN10708</t>
  </si>
  <si>
    <t>CUST1708</t>
  </si>
  <si>
    <t>FN10710</t>
  </si>
  <si>
    <t>CUST1710</t>
  </si>
  <si>
    <t>FN10712</t>
  </si>
  <si>
    <t>CUST1712</t>
  </si>
  <si>
    <t>FN10713</t>
  </si>
  <si>
    <t>CUST1713</t>
  </si>
  <si>
    <t>FN10715</t>
  </si>
  <si>
    <t>CUST1715</t>
  </si>
  <si>
    <t>FN10717</t>
  </si>
  <si>
    <t>CUST1717</t>
  </si>
  <si>
    <t>FN10723</t>
  </si>
  <si>
    <t>CUST1723</t>
  </si>
  <si>
    <t>FN10725</t>
  </si>
  <si>
    <t>CUST1725</t>
  </si>
  <si>
    <t>FN10727</t>
  </si>
  <si>
    <t>CUST1727</t>
  </si>
  <si>
    <t>FN10728</t>
  </si>
  <si>
    <t>CUST1728</t>
  </si>
  <si>
    <t>FN10730</t>
  </si>
  <si>
    <t>CUST1730</t>
  </si>
  <si>
    <t>FN10732</t>
  </si>
  <si>
    <t>CUST1732</t>
  </si>
  <si>
    <t>FN10736</t>
  </si>
  <si>
    <t>CUST1736</t>
  </si>
  <si>
    <t>FN10737</t>
  </si>
  <si>
    <t>CUST1737</t>
  </si>
  <si>
    <t>FN10739</t>
  </si>
  <si>
    <t>CUST1739</t>
  </si>
  <si>
    <t>FN10740</t>
  </si>
  <si>
    <t>CUST1740</t>
  </si>
  <si>
    <t>FN10742</t>
  </si>
  <si>
    <t>CUST1742</t>
  </si>
  <si>
    <t>FN10743</t>
  </si>
  <si>
    <t>CUST1743</t>
  </si>
  <si>
    <t>FN10744</t>
  </si>
  <si>
    <t>CUST1744</t>
  </si>
  <si>
    <t>FN10747</t>
  </si>
  <si>
    <t>CUST1747</t>
  </si>
  <si>
    <t>FN10748</t>
  </si>
  <si>
    <t>CUST1748</t>
  </si>
  <si>
    <t>FN10749</t>
  </si>
  <si>
    <t>CUST1749</t>
  </si>
  <si>
    <t>FN10751</t>
  </si>
  <si>
    <t>CUST1751</t>
  </si>
  <si>
    <t>FN10754</t>
  </si>
  <si>
    <t>CUST1754</t>
  </si>
  <si>
    <t>FN10757</t>
  </si>
  <si>
    <t>CUST1757</t>
  </si>
  <si>
    <t>FN10758</t>
  </si>
  <si>
    <t>CUST1758</t>
  </si>
  <si>
    <t>FN10763</t>
  </si>
  <si>
    <t>CUST1763</t>
  </si>
  <si>
    <t>FN10764</t>
  </si>
  <si>
    <t>CUST1764</t>
  </si>
  <si>
    <t>FN10765</t>
  </si>
  <si>
    <t>CUST1765</t>
  </si>
  <si>
    <t>FN10767</t>
  </si>
  <si>
    <t>CUST1767</t>
  </si>
  <si>
    <t>FN10769</t>
  </si>
  <si>
    <t>CUST1769</t>
  </si>
  <si>
    <t>FN10771</t>
  </si>
  <si>
    <t>CUST1771</t>
  </si>
  <si>
    <t>FN10773</t>
  </si>
  <si>
    <t>CUST1773</t>
  </si>
  <si>
    <t>FN10775</t>
  </si>
  <si>
    <t>CUST1775</t>
  </si>
  <si>
    <t>FN10776</t>
  </si>
  <si>
    <t>CUST1776</t>
  </si>
  <si>
    <t>FN10781</t>
  </si>
  <si>
    <t>CUST1781</t>
  </si>
  <si>
    <t>FN10782</t>
  </si>
  <si>
    <t>CUST1782</t>
  </si>
  <si>
    <t>FN10784</t>
  </si>
  <si>
    <t>CUST1784</t>
  </si>
  <si>
    <t>FN10788</t>
  </si>
  <si>
    <t>CUST1788</t>
  </si>
  <si>
    <t>FN10791</t>
  </si>
  <si>
    <t>CUST1791</t>
  </si>
  <si>
    <t>FN10792</t>
  </si>
  <si>
    <t>CUST1792</t>
  </si>
  <si>
    <t>FN10793</t>
  </si>
  <si>
    <t>CUST1793</t>
  </si>
  <si>
    <t>FN10796</t>
  </si>
  <si>
    <t>CUST1796</t>
  </si>
  <si>
    <t>FN10797</t>
  </si>
  <si>
    <t>CUST1797</t>
  </si>
  <si>
    <t>FN10798</t>
  </si>
  <si>
    <t>CUST1798</t>
  </si>
  <si>
    <t>FN10799</t>
  </si>
  <si>
    <t>CUST1799</t>
  </si>
  <si>
    <t>FN10800</t>
  </si>
  <si>
    <t>CUST1800</t>
  </si>
  <si>
    <t>Standard_Price</t>
  </si>
  <si>
    <t>Warranty_Years</t>
  </si>
  <si>
    <t>Sales_Representative</t>
  </si>
  <si>
    <t>Employee_ID</t>
  </si>
  <si>
    <t>Team</t>
  </si>
  <si>
    <t>Designation</t>
  </si>
  <si>
    <t>Experience_Years</t>
  </si>
  <si>
    <t>EMP001</t>
  </si>
  <si>
    <t>Retail</t>
  </si>
  <si>
    <t>Sales Executive</t>
  </si>
  <si>
    <t>EMP002</t>
  </si>
  <si>
    <t>Senior Sales Executive</t>
  </si>
  <si>
    <t>EMP006</t>
  </si>
  <si>
    <t>EMP007</t>
  </si>
  <si>
    <t>Projects</t>
  </si>
  <si>
    <t>Sales Manager</t>
  </si>
  <si>
    <t>District_ID</t>
  </si>
  <si>
    <t>State</t>
  </si>
  <si>
    <t>Region</t>
  </si>
  <si>
    <t>Branch_Manager</t>
  </si>
  <si>
    <t>Monthly_Target</t>
  </si>
  <si>
    <t>D001</t>
  </si>
  <si>
    <t>Tamil Nadu</t>
  </si>
  <si>
    <t>South</t>
  </si>
  <si>
    <t>Suresh</t>
  </si>
  <si>
    <t>D002</t>
  </si>
  <si>
    <t>Lakshmi</t>
  </si>
  <si>
    <t>D006</t>
  </si>
  <si>
    <t>Bala</t>
  </si>
  <si>
    <t>D007</t>
  </si>
  <si>
    <t>Naveen</t>
  </si>
  <si>
    <t>Sales Target</t>
  </si>
  <si>
    <t>Year2</t>
  </si>
  <si>
    <t>MONTH</t>
  </si>
  <si>
    <t>Month2</t>
  </si>
  <si>
    <t>MONTH_NUMBER</t>
  </si>
  <si>
    <t>QUARTER</t>
  </si>
  <si>
    <t>Quarter2</t>
  </si>
  <si>
    <t>Months</t>
  </si>
  <si>
    <t>A</t>
  </si>
  <si>
    <t>B</t>
  </si>
  <si>
    <t>Result</t>
  </si>
  <si>
    <t>=HLOOKUP(lookup_value, table_array, row_index_num, [range_lookup])</t>
  </si>
  <si>
    <t xml:space="preserve">	=MATCH(lookup_value, lookup_array, match_type)</t>
  </si>
  <si>
    <t>Enter Month</t>
  </si>
  <si>
    <t>?</t>
  </si>
  <si>
    <t>aug</t>
  </si>
  <si>
    <t>VLOOKUP + MATCH</t>
  </si>
  <si>
    <t>Product ID</t>
  </si>
  <si>
    <t>Information Required</t>
  </si>
  <si>
    <t>=INDEX(array, row_num, [column_num]</t>
  </si>
  <si>
    <t>Product_id</t>
  </si>
  <si>
    <t>Sales target</t>
  </si>
  <si>
    <t>=VLOOKUP(lookup_value, table_array, col_index_num, [range_lookup])</t>
  </si>
  <si>
    <t>=MATCH(lookup_value, lookup_array, [match_type])</t>
  </si>
  <si>
    <t>Row Labels</t>
  </si>
  <si>
    <t>Grand Total</t>
  </si>
  <si>
    <t>Column Labels</t>
  </si>
  <si>
    <t>Sum of Net_Sales</t>
  </si>
  <si>
    <t>Sales Person</t>
  </si>
  <si>
    <t>District Perfomance</t>
  </si>
  <si>
    <t>Net Sales</t>
  </si>
  <si>
    <t>Product2</t>
  </si>
  <si>
    <t>Average Benchmark</t>
  </si>
  <si>
    <t>Quarter</t>
  </si>
  <si>
    <t>Performance vs Average</t>
  </si>
  <si>
    <t>January</t>
  </si>
  <si>
    <t>February</t>
  </si>
  <si>
    <t>March</t>
  </si>
  <si>
    <t>April</t>
  </si>
  <si>
    <t>June</t>
  </si>
  <si>
    <t>July</t>
  </si>
  <si>
    <t>August</t>
  </si>
  <si>
    <t>September</t>
  </si>
  <si>
    <t>October</t>
  </si>
  <si>
    <t>November</t>
  </si>
  <si>
    <t>December</t>
  </si>
  <si>
    <t>Quarters</t>
  </si>
  <si>
    <t>Net__Sales</t>
  </si>
  <si>
    <t>D</t>
  </si>
  <si>
    <t>E</t>
  </si>
  <si>
    <t>F</t>
  </si>
  <si>
    <t>Selected Salesperson</t>
  </si>
  <si>
    <t>Net___Sales</t>
  </si>
  <si>
    <t>SALES PERFORMANCE DASHBOARD</t>
  </si>
  <si>
    <t>TOTAL NET SALES</t>
  </si>
  <si>
    <t>TOTAL ORDERS</t>
  </si>
  <si>
    <t>TOP SALESPERSON</t>
  </si>
  <si>
    <t>TOP PRODUCT</t>
  </si>
  <si>
    <t>AVERAGE ORDER VALUE</t>
  </si>
  <si>
    <t>Sales Perfomance Analysis | Quarterly . District . Product . 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</si>
</sst>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14009]dd\ mmmm\ yyyy;@"/>
  </numFmts>
  <fonts count="10" x14ac:knownFonts="1">
    <font>
      <sz val="11"/>
      <color theme="1"/>
      <name val="Calibri"/>
      <family val="2"/>
      <scheme val="minor"/>
    </font>
    <font>
      <b/>
      <sz val="11"/>
      <name val="Calibri"/>
      <family val="2"/>
    </font>
    <font>
      <b/>
      <sz val="11"/>
      <color theme="1"/>
      <name val="Calibri"/>
      <family val="2"/>
      <scheme val="minor"/>
    </font>
    <font>
      <sz val="10"/>
      <color theme="1"/>
      <name val="Calibri"/>
      <family val="2"/>
      <scheme val="minor"/>
    </font>
    <font>
      <sz val="11"/>
      <color theme="1"/>
      <name val="Calibri"/>
      <family val="2"/>
      <scheme val="minor"/>
    </font>
    <font>
      <sz val="8"/>
      <name val="Calibri"/>
      <family val="2"/>
      <scheme val="minor"/>
    </font>
    <font>
      <b/>
      <sz val="16"/>
      <color theme="1"/>
      <name val="Calibri"/>
      <family val="2"/>
      <scheme val="minor"/>
    </font>
    <font>
      <b/>
      <sz val="14"/>
      <color theme="1"/>
      <name val="Calibri"/>
      <family val="2"/>
      <scheme val="minor"/>
    </font>
    <font>
      <b/>
      <sz val="20"/>
      <color theme="0"/>
      <name val="Calibri"/>
      <family val="2"/>
      <scheme val="minor"/>
    </font>
    <font>
      <b/>
      <sz val="14"/>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3"/>
        <bgColor indexed="64"/>
      </patternFill>
    </fill>
    <fill>
      <patternFill patternType="solid">
        <fgColor theme="6" tint="0.79998168889431442"/>
        <bgColor indexed="64"/>
      </patternFill>
    </fill>
  </fills>
  <borders count="6">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9" fontId="4" fillId="0" borderId="0" applyFont="0" applyFill="0" applyBorder="0" applyAlignment="0" applyProtection="0"/>
    <xf numFmtId="43" fontId="4"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horizontal="left" vertical="center" indent="4"/>
    </xf>
    <xf numFmtId="0" fontId="3" fillId="0" borderId="0" xfId="0" applyFont="1"/>
    <xf numFmtId="0" fontId="1" fillId="2"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9" fontId="0" fillId="0" borderId="0" xfId="1" applyFont="1" applyAlignment="1">
      <alignment vertical="center" wrapText="1"/>
    </xf>
    <xf numFmtId="4" fontId="0" fillId="0" borderId="0" xfId="0" applyNumberFormat="1" applyAlignment="1">
      <alignment vertical="center" wrapText="1"/>
    </xf>
    <xf numFmtId="0" fontId="8" fillId="3" borderId="0" xfId="0" applyFont="1" applyFill="1" applyAlignment="1">
      <alignment horizontal="center" vertical="center"/>
    </xf>
    <xf numFmtId="0" fontId="9" fillId="3" borderId="0" xfId="0" applyFont="1" applyFill="1" applyAlignment="1">
      <alignment horizontal="center"/>
    </xf>
    <xf numFmtId="0" fontId="8" fillId="3" borderId="0" xfId="0" applyFont="1" applyFill="1" applyAlignment="1">
      <alignment horizontal="center"/>
    </xf>
    <xf numFmtId="43" fontId="6" fillId="4" borderId="2" xfId="2" applyFont="1" applyFill="1" applyBorder="1" applyAlignment="1">
      <alignment horizontal="right" vertical="center"/>
    </xf>
    <xf numFmtId="0" fontId="7" fillId="4" borderId="2" xfId="0" applyFont="1" applyFill="1" applyBorder="1" applyAlignment="1">
      <alignment horizontal="center" vertical="center"/>
    </xf>
    <xf numFmtId="43" fontId="6" fillId="4" borderId="2" xfId="2" applyFont="1" applyFill="1" applyBorder="1" applyAlignment="1">
      <alignment horizontal="center"/>
    </xf>
    <xf numFmtId="0" fontId="6" fillId="4" borderId="2" xfId="0" applyFont="1" applyFill="1" applyBorder="1" applyAlignment="1">
      <alignment horizontal="center" vertical="top"/>
    </xf>
    <xf numFmtId="0" fontId="6" fillId="4" borderId="3" xfId="0" applyFont="1" applyFill="1" applyBorder="1" applyAlignment="1">
      <alignment horizontal="center" vertical="top"/>
    </xf>
    <xf numFmtId="0" fontId="6" fillId="4" borderId="4" xfId="0" applyFont="1" applyFill="1" applyBorder="1" applyAlignment="1">
      <alignment horizontal="center" vertical="top"/>
    </xf>
    <xf numFmtId="0" fontId="6" fillId="4" borderId="5" xfId="0" applyFont="1" applyFill="1" applyBorder="1" applyAlignment="1">
      <alignment horizontal="center" vertical="top"/>
    </xf>
  </cellXfs>
  <cellStyles count="3">
    <cellStyle name="Comma" xfId="2" builtinId="3"/>
    <cellStyle name="Normal" xfId="0" builtinId="0"/>
    <cellStyle name="Percent" xfId="1" builtinId="5"/>
  </cellStyles>
  <dxfs count="21">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164" formatCode="[$-14009]dd\ mmmm\ yyyy;@"/>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FF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[Fenesta_TamilNadu_Dataset.xlsx]PVT_Top5_Salespersons!Top5_salespersons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Salespersons by Net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PVT_Top5_Salespersons!$B$3</c:f>
              <c:strCache>
                <c:ptCount val="1"/>
                <c:pt idx="0">
                  <c:v>Total</c:v>
                </c:pt>
              </c:strCache>
            </c:strRef>
          </c:tx>
          <c:spPr>
            <a:solidFill>
              <a:schemeClr val="accent1"/>
            </a:solidFill>
            <a:ln>
              <a:noFill/>
            </a:ln>
            <a:effectLst/>
          </c:spPr>
          <c:invertIfNegative val="0"/>
          <c:cat>
            <c:strRef>
              <c:f>PVT_Top5_Salespersons!$A$4:$A$9</c:f>
              <c:strCache>
                <c:ptCount val="5"/>
                <c:pt idx="0">
                  <c:v>Sneha</c:v>
                </c:pt>
                <c:pt idx="1">
                  <c:v>Meena</c:v>
                </c:pt>
                <c:pt idx="2">
                  <c:v>Rahul</c:v>
                </c:pt>
                <c:pt idx="3">
                  <c:v>Priya</c:v>
                </c:pt>
                <c:pt idx="4">
                  <c:v>Vikram</c:v>
                </c:pt>
              </c:strCache>
            </c:strRef>
          </c:cat>
          <c:val>
            <c:numRef>
              <c:f>PVT_Top5_Salespersons!$B$4:$B$9</c:f>
              <c:numCache>
                <c:formatCode>General</c:formatCode>
                <c:ptCount val="5"/>
                <c:pt idx="0">
                  <c:v>7349314.8499999987</c:v>
                </c:pt>
                <c:pt idx="1">
                  <c:v>6498767.8499999996</c:v>
                </c:pt>
                <c:pt idx="2">
                  <c:v>6165693.7000000011</c:v>
                </c:pt>
                <c:pt idx="3">
                  <c:v>5996814.5000000019</c:v>
                </c:pt>
                <c:pt idx="4">
                  <c:v>5721954.6499999994</c:v>
                </c:pt>
              </c:numCache>
            </c:numRef>
          </c:val>
          <c:extLst>
            <c:ext xmlns:c16="http://schemas.microsoft.com/office/drawing/2014/chart" uri="{C3380CC4-5D6E-409C-BE32-E72D297353CC}">
              <c16:uniqueId val="{00000000-45F7-483E-BB45-E639C151F859}"/>
            </c:ext>
          </c:extLst>
        </c:ser>
        <c:dLbls>
          <c:showLegendKey val="0"/>
          <c:showVal val="0"/>
          <c:showCatName val="0"/>
          <c:showSerName val="0"/>
          <c:showPercent val="0"/>
          <c:showBubbleSize val="0"/>
        </c:dLbls>
        <c:gapWidth val="219"/>
        <c:overlap val="-27"/>
        <c:axId val="558253615"/>
        <c:axId val="558256111"/>
      </c:barChart>
      <c:catAx>
        <c:axId val="55825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56111"/>
        <c:crosses val="autoZero"/>
        <c:auto val="1"/>
        <c:lblAlgn val="ctr"/>
        <c:lblOffset val="100"/>
        <c:noMultiLvlLbl val="0"/>
      </c:catAx>
      <c:valAx>
        <c:axId val="55825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5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[Fenesta_TamilNadu_Dataset.xlsx]Top 5 Districts by Net Sales!Top 5 Districts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Districts by Net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Districts by Net Sales'!$B$3</c:f>
              <c:strCache>
                <c:ptCount val="1"/>
                <c:pt idx="0">
                  <c:v>Total</c:v>
                </c:pt>
              </c:strCache>
            </c:strRef>
          </c:tx>
          <c:spPr>
            <a:solidFill>
              <a:schemeClr val="accent1"/>
            </a:solidFill>
            <a:ln>
              <a:noFill/>
            </a:ln>
            <a:effectLst/>
          </c:spPr>
          <c:invertIfNegative val="0"/>
          <c:cat>
            <c:strRef>
              <c:f>'Top 5 Districts by Net Sales'!$A$4:$A$8</c:f>
              <c:strCache>
                <c:ptCount val="4"/>
                <c:pt idx="0">
                  <c:v>Coimbatore</c:v>
                </c:pt>
                <c:pt idx="1">
                  <c:v>Madurai</c:v>
                </c:pt>
                <c:pt idx="2">
                  <c:v>Tiruchirappalli</c:v>
                </c:pt>
                <c:pt idx="3">
                  <c:v>Chennai</c:v>
                </c:pt>
              </c:strCache>
            </c:strRef>
          </c:cat>
          <c:val>
            <c:numRef>
              <c:f>'Top 5 Districts by Net Sales'!$B$4:$B$8</c:f>
              <c:numCache>
                <c:formatCode>General</c:formatCode>
                <c:ptCount val="4"/>
                <c:pt idx="0">
                  <c:v>12067506.149999999</c:v>
                </c:pt>
                <c:pt idx="1">
                  <c:v>11874875.050000003</c:v>
                </c:pt>
                <c:pt idx="2">
                  <c:v>11581372.4</c:v>
                </c:pt>
                <c:pt idx="3">
                  <c:v>10829805.299999997</c:v>
                </c:pt>
              </c:numCache>
            </c:numRef>
          </c:val>
          <c:extLst>
            <c:ext xmlns:c16="http://schemas.microsoft.com/office/drawing/2014/chart" uri="{C3380CC4-5D6E-409C-BE32-E72D297353CC}">
              <c16:uniqueId val="{00000000-5520-4A89-9E5C-D4AE4D86CE77}"/>
            </c:ext>
          </c:extLst>
        </c:ser>
        <c:dLbls>
          <c:showLegendKey val="0"/>
          <c:showVal val="0"/>
          <c:showCatName val="0"/>
          <c:showSerName val="0"/>
          <c:showPercent val="0"/>
          <c:showBubbleSize val="0"/>
        </c:dLbls>
        <c:gapWidth val="219"/>
        <c:overlap val="-27"/>
        <c:axId val="548297311"/>
        <c:axId val="548299391"/>
      </c:barChart>
      <c:catAx>
        <c:axId val="548297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District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299391"/>
        <c:crosses val="autoZero"/>
        <c:auto val="1"/>
        <c:lblAlgn val="ctr"/>
        <c:lblOffset val="100"/>
        <c:noMultiLvlLbl val="0"/>
      </c:catAx>
      <c:valAx>
        <c:axId val="548299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Net</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297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[Fenesta_TamilNadu_Dataset.xlsx]PVT_Top5_Salespersons!Top5_salespersons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5 Salespersons by Net Sales</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PVT_Top5_Salespersons!$B$3</c:f>
              <c:strCache>
                <c:ptCount val="1"/>
                <c:pt idx="0">
                  <c:v>Total</c:v>
                </c:pt>
              </c:strCache>
            </c:strRef>
          </c:tx>
          <c:spPr>
            <a:solidFill>
              <a:schemeClr val="accent1"/>
            </a:solidFill>
            <a:ln>
              <a:noFill/>
            </a:ln>
            <a:effectLst/>
          </c:spPr>
          <c:invertIfNegative val="0"/>
          <c:cat>
            <c:strRef>
              <c:f>PVT_Top5_Salespersons!$A$4:$A$9</c:f>
              <c:strCache>
                <c:ptCount val="5"/>
                <c:pt idx="0">
                  <c:v>Sneha</c:v>
                </c:pt>
                <c:pt idx="1">
                  <c:v>Meena</c:v>
                </c:pt>
                <c:pt idx="2">
                  <c:v>Rahul</c:v>
                </c:pt>
                <c:pt idx="3">
                  <c:v>Priya</c:v>
                </c:pt>
                <c:pt idx="4">
                  <c:v>Vikram</c:v>
                </c:pt>
              </c:strCache>
            </c:strRef>
          </c:cat>
          <c:val>
            <c:numRef>
              <c:f>PVT_Top5_Salespersons!$B$4:$B$9</c:f>
              <c:numCache>
                <c:formatCode>General</c:formatCode>
                <c:ptCount val="5"/>
                <c:pt idx="0">
                  <c:v>7349314.8499999987</c:v>
                </c:pt>
                <c:pt idx="1">
                  <c:v>6498767.8499999996</c:v>
                </c:pt>
                <c:pt idx="2">
                  <c:v>6165693.7000000011</c:v>
                </c:pt>
                <c:pt idx="3">
                  <c:v>5996814.5000000019</c:v>
                </c:pt>
                <c:pt idx="4">
                  <c:v>5721954.6499999994</c:v>
                </c:pt>
              </c:numCache>
            </c:numRef>
          </c:val>
          <c:extLst>
            <c:ext xmlns:c16="http://schemas.microsoft.com/office/drawing/2014/chart" uri="{C3380CC4-5D6E-409C-BE32-E72D297353CC}">
              <c16:uniqueId val="{00000000-BB18-463F-B03F-9543CB351183}"/>
            </c:ext>
          </c:extLst>
        </c:ser>
        <c:dLbls>
          <c:showLegendKey val="0"/>
          <c:showVal val="0"/>
          <c:showCatName val="0"/>
          <c:showSerName val="0"/>
          <c:showPercent val="0"/>
          <c:showBubbleSize val="0"/>
        </c:dLbls>
        <c:gapWidth val="70"/>
        <c:overlap val="-27"/>
        <c:axId val="558253615"/>
        <c:axId val="558256111"/>
      </c:barChart>
      <c:catAx>
        <c:axId val="55825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56111"/>
        <c:crosses val="autoZero"/>
        <c:auto val="1"/>
        <c:lblAlgn val="ctr"/>
        <c:lblOffset val="100"/>
        <c:noMultiLvlLbl val="0"/>
      </c:catAx>
      <c:valAx>
        <c:axId val="55825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5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[Fenesta_TamilNadu_Dataset.xlsx]Top 5 Products by Sum of Netsal!Top 5 products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5 Products by Net Sales</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Products by Sum of Netsal'!$B$3</c:f>
              <c:strCache>
                <c:ptCount val="1"/>
                <c:pt idx="0">
                  <c:v>Total</c:v>
                </c:pt>
              </c:strCache>
            </c:strRef>
          </c:tx>
          <c:spPr>
            <a:solidFill>
              <a:schemeClr val="accent1"/>
            </a:solidFill>
            <a:ln>
              <a:noFill/>
            </a:ln>
            <a:effectLst/>
          </c:spPr>
          <c:invertIfNegative val="0"/>
          <c:cat>
            <c:strRef>
              <c:f>'Top 5 Products by Sum of Netsal'!$A$4:$A$9</c:f>
              <c:strCache>
                <c:ptCount val="5"/>
                <c:pt idx="0">
                  <c:v>French Doors</c:v>
                </c:pt>
                <c:pt idx="1">
                  <c:v>Bi-Fold Doors</c:v>
                </c:pt>
                <c:pt idx="2">
                  <c:v>Sliding Doors</c:v>
                </c:pt>
                <c:pt idx="3">
                  <c:v>Soundproof Windows</c:v>
                </c:pt>
                <c:pt idx="4">
                  <c:v>Casement Windows</c:v>
                </c:pt>
              </c:strCache>
            </c:strRef>
          </c:cat>
          <c:val>
            <c:numRef>
              <c:f>'Top 5 Products by Sum of Netsal'!$B$4:$B$9</c:f>
              <c:numCache>
                <c:formatCode>General</c:formatCode>
                <c:ptCount val="5"/>
                <c:pt idx="0">
                  <c:v>9280504.799999997</c:v>
                </c:pt>
                <c:pt idx="1">
                  <c:v>8533032</c:v>
                </c:pt>
                <c:pt idx="2">
                  <c:v>6363407.2000000002</c:v>
                </c:pt>
                <c:pt idx="3">
                  <c:v>5258497.3999999985</c:v>
                </c:pt>
                <c:pt idx="4">
                  <c:v>4570298.55</c:v>
                </c:pt>
              </c:numCache>
            </c:numRef>
          </c:val>
          <c:extLst>
            <c:ext xmlns:c16="http://schemas.microsoft.com/office/drawing/2014/chart" uri="{C3380CC4-5D6E-409C-BE32-E72D297353CC}">
              <c16:uniqueId val="{00000000-6EFE-4CBB-B563-BB89B4F2D6EE}"/>
            </c:ext>
          </c:extLst>
        </c:ser>
        <c:dLbls>
          <c:showLegendKey val="0"/>
          <c:showVal val="0"/>
          <c:showCatName val="0"/>
          <c:showSerName val="0"/>
          <c:showPercent val="0"/>
          <c:showBubbleSize val="0"/>
        </c:dLbls>
        <c:gapWidth val="70"/>
        <c:overlap val="-27"/>
        <c:axId val="475036431"/>
        <c:axId val="475050575"/>
      </c:barChart>
      <c:catAx>
        <c:axId val="47503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050575"/>
        <c:crosses val="autoZero"/>
        <c:auto val="1"/>
        <c:lblAlgn val="ctr"/>
        <c:lblOffset val="100"/>
        <c:noMultiLvlLbl val="0"/>
      </c:catAx>
      <c:valAx>
        <c:axId val="47505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03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Quarterly Sales vs Average Benchmark</a:t>
            </a:r>
            <a:endParaRPr lang="en-IN" b="1"/>
          </a:p>
        </c:rich>
      </c:tx>
      <c:layout>
        <c:manualLayout>
          <c:xMode val="edge"/>
          <c:yMode val="edge"/>
          <c:x val="0.1894860017497813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PVT_Quarterly_Performance!$E$3</c:f>
              <c:strCache>
                <c:ptCount val="1"/>
                <c:pt idx="0">
                  <c:v>Selected Salesperson</c:v>
                </c:pt>
              </c:strCache>
            </c:strRef>
          </c:tx>
          <c:spPr>
            <a:solidFill>
              <a:schemeClr val="accent1"/>
            </a:solidFill>
            <a:ln>
              <a:noFill/>
            </a:ln>
            <a:effectLst/>
          </c:spPr>
          <c:invertIfNegative val="0"/>
          <c:cat>
            <c:strRef>
              <c:f>PVT_Quarterly_Performance!$D$4:$D$7</c:f>
              <c:strCache>
                <c:ptCount val="4"/>
                <c:pt idx="0">
                  <c:v>Q1</c:v>
                </c:pt>
                <c:pt idx="1">
                  <c:v>Q2</c:v>
                </c:pt>
                <c:pt idx="2">
                  <c:v>Q3</c:v>
                </c:pt>
                <c:pt idx="3">
                  <c:v>Q4</c:v>
                </c:pt>
              </c:strCache>
            </c:strRef>
          </c:cat>
          <c:val>
            <c:numRef>
              <c:f>PVT_Quarterly_Performance!$E$4:$E$7</c:f>
              <c:numCache>
                <c:formatCode>General</c:formatCode>
                <c:ptCount val="4"/>
                <c:pt idx="0">
                  <c:v>1732105.9000000001</c:v>
                </c:pt>
                <c:pt idx="1">
                  <c:v>1512825.5500000003</c:v>
                </c:pt>
                <c:pt idx="2">
                  <c:v>1682105.6</c:v>
                </c:pt>
                <c:pt idx="3">
                  <c:v>794917.60000000009</c:v>
                </c:pt>
              </c:numCache>
            </c:numRef>
          </c:val>
          <c:extLst>
            <c:ext xmlns:c16="http://schemas.microsoft.com/office/drawing/2014/chart" uri="{C3380CC4-5D6E-409C-BE32-E72D297353CC}">
              <c16:uniqueId val="{00000000-A279-43B4-83D6-30EF42C78C15}"/>
            </c:ext>
          </c:extLst>
        </c:ser>
        <c:dLbls>
          <c:showLegendKey val="0"/>
          <c:showVal val="0"/>
          <c:showCatName val="0"/>
          <c:showSerName val="0"/>
          <c:showPercent val="0"/>
          <c:showBubbleSize val="0"/>
        </c:dLbls>
        <c:gapWidth val="70"/>
        <c:overlap val="-27"/>
        <c:axId val="623759935"/>
        <c:axId val="623763263"/>
      </c:barChart>
      <c:lineChart>
        <c:grouping val="standard"/>
        <c:varyColors val="0"/>
        <c:ser>
          <c:idx val="1"/>
          <c:order val="1"/>
          <c:tx>
            <c:strRef>
              <c:f>PVT_Quarterly_Performance!$F$3</c:f>
              <c:strCache>
                <c:ptCount val="1"/>
                <c:pt idx="0">
                  <c:v>Average Benchmark</c:v>
                </c:pt>
              </c:strCache>
            </c:strRef>
          </c:tx>
          <c:spPr>
            <a:ln w="31750" cap="rnd">
              <a:solidFill>
                <a:srgbClr val="C00000"/>
              </a:solidFill>
              <a:round/>
            </a:ln>
            <a:effectLst/>
          </c:spPr>
          <c:marker>
            <c:symbol val="none"/>
          </c:marker>
          <c:cat>
            <c:strRef>
              <c:f>PVT_Quarterly_Performance!$D$4:$D$7</c:f>
              <c:strCache>
                <c:ptCount val="4"/>
                <c:pt idx="0">
                  <c:v>Q1</c:v>
                </c:pt>
                <c:pt idx="1">
                  <c:v>Q2</c:v>
                </c:pt>
                <c:pt idx="2">
                  <c:v>Q3</c:v>
                </c:pt>
                <c:pt idx="3">
                  <c:v>Q4</c:v>
                </c:pt>
              </c:strCache>
            </c:strRef>
          </c:cat>
          <c:val>
            <c:numRef>
              <c:f>PVT_Quarterly_Performance!$F$4:$F$7</c:f>
              <c:numCache>
                <c:formatCode>#,##0.00</c:formatCode>
                <c:ptCount val="4"/>
                <c:pt idx="0">
                  <c:v>1399592.27</c:v>
                </c:pt>
                <c:pt idx="1">
                  <c:v>1646009.69</c:v>
                </c:pt>
                <c:pt idx="2">
                  <c:v>1381220.73</c:v>
                </c:pt>
                <c:pt idx="3">
                  <c:v>1367372.17</c:v>
                </c:pt>
              </c:numCache>
            </c:numRef>
          </c:val>
          <c:smooth val="0"/>
          <c:extLst>
            <c:ext xmlns:c16="http://schemas.microsoft.com/office/drawing/2014/chart" uri="{C3380CC4-5D6E-409C-BE32-E72D297353CC}">
              <c16:uniqueId val="{00000001-A279-43B4-83D6-30EF42C78C15}"/>
            </c:ext>
          </c:extLst>
        </c:ser>
        <c:dLbls>
          <c:showLegendKey val="0"/>
          <c:showVal val="0"/>
          <c:showCatName val="0"/>
          <c:showSerName val="0"/>
          <c:showPercent val="0"/>
          <c:showBubbleSize val="0"/>
        </c:dLbls>
        <c:marker val="1"/>
        <c:smooth val="0"/>
        <c:axId val="623759935"/>
        <c:axId val="623763263"/>
      </c:lineChart>
      <c:catAx>
        <c:axId val="62375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63263"/>
        <c:crosses val="autoZero"/>
        <c:auto val="1"/>
        <c:lblAlgn val="ctr"/>
        <c:lblOffset val="100"/>
        <c:noMultiLvlLbl val="0"/>
      </c:catAx>
      <c:valAx>
        <c:axId val="62376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59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[Fenesta_TamilNadu_Dataset.xlsx]PVT_Monthly_Performance!Monthly_Perfomance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Net Sales – Selected Salesperson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PVT_Monthly_Performance!$B$3</c:f>
              <c:strCache>
                <c:ptCount val="1"/>
                <c:pt idx="0">
                  <c:v>Total</c:v>
                </c:pt>
              </c:strCache>
            </c:strRef>
          </c:tx>
          <c:spPr>
            <a:ln w="31750" cap="rnd">
              <a:solidFill>
                <a:schemeClr val="accent1"/>
              </a:solidFill>
              <a:round/>
            </a:ln>
            <a:effectLst/>
          </c:spPr>
          <c:marker>
            <c:symbol val="circle"/>
            <c:size val="5"/>
            <c:spPr>
              <a:solidFill>
                <a:schemeClr val="accent1"/>
              </a:solidFill>
              <a:ln w="9525">
                <a:solidFill>
                  <a:schemeClr val="accent1"/>
                </a:solidFill>
              </a:ln>
              <a:effectLst/>
            </c:spPr>
          </c:marker>
          <c:cat>
            <c:strRef>
              <c:f>PVT_Monthly_Performance!$A$4:$A$16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PVT_Monthly_Performance!$B$4:$B$16</c:f>
              <c:numCache>
                <c:formatCode>General</c:formatCode>
                <c:ptCount val="12"/>
                <c:pt idx="0">
                  <c:v>0</c:v>
                </c:pt>
                <c:pt idx="1">
                  <c:v>876319.20000000019</c:v>
                </c:pt>
                <c:pt idx="2">
                  <c:v>855786.7</c:v>
                </c:pt>
                <c:pt idx="3">
                  <c:v>238214.19999999998</c:v>
                </c:pt>
                <c:pt idx="4">
                  <c:v>802665.8</c:v>
                </c:pt>
                <c:pt idx="5">
                  <c:v>471945.55</c:v>
                </c:pt>
                <c:pt idx="6">
                  <c:v>414507.6</c:v>
                </c:pt>
                <c:pt idx="7">
                  <c:v>853973.60000000009</c:v>
                </c:pt>
                <c:pt idx="8">
                  <c:v>413624.4</c:v>
                </c:pt>
                <c:pt idx="9">
                  <c:v>160012.79999999999</c:v>
                </c:pt>
                <c:pt idx="10">
                  <c:v>172484.6</c:v>
                </c:pt>
                <c:pt idx="11">
                  <c:v>462420.2</c:v>
                </c:pt>
              </c:numCache>
            </c:numRef>
          </c:val>
          <c:smooth val="0"/>
          <c:extLst>
            <c:ext xmlns:c16="http://schemas.microsoft.com/office/drawing/2014/chart" uri="{C3380CC4-5D6E-409C-BE32-E72D297353CC}">
              <c16:uniqueId val="{00000000-F044-4A70-BC8A-421BDA2E878D}"/>
            </c:ext>
          </c:extLst>
        </c:ser>
        <c:dLbls>
          <c:showLegendKey val="0"/>
          <c:showVal val="0"/>
          <c:showCatName val="0"/>
          <c:showSerName val="0"/>
          <c:showPercent val="0"/>
          <c:showBubbleSize val="0"/>
        </c:dLbls>
        <c:marker val="1"/>
        <c:smooth val="0"/>
        <c:axId val="1636078495"/>
        <c:axId val="1636075583"/>
      </c:lineChart>
      <c:catAx>
        <c:axId val="163607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075583"/>
        <c:crosses val="autoZero"/>
        <c:auto val="1"/>
        <c:lblAlgn val="ctr"/>
        <c:lblOffset val="100"/>
        <c:noMultiLvlLbl val="0"/>
      </c:catAx>
      <c:valAx>
        <c:axId val="1636075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Net</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07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[Fenesta_TamilNadu_Dataset.xlsx]Top 5 Products by Sum of Netsal!Top 5 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Products by Net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Products by Sum of Netsal'!$B$3</c:f>
              <c:strCache>
                <c:ptCount val="1"/>
                <c:pt idx="0">
                  <c:v>Total</c:v>
                </c:pt>
              </c:strCache>
            </c:strRef>
          </c:tx>
          <c:spPr>
            <a:solidFill>
              <a:schemeClr val="accent1"/>
            </a:solidFill>
            <a:ln>
              <a:noFill/>
            </a:ln>
            <a:effectLst/>
          </c:spPr>
          <c:invertIfNegative val="0"/>
          <c:cat>
            <c:strRef>
              <c:f>'Top 5 Products by Sum of Netsal'!$A$4:$A$9</c:f>
              <c:strCache>
                <c:ptCount val="5"/>
                <c:pt idx="0">
                  <c:v>French Doors</c:v>
                </c:pt>
                <c:pt idx="1">
                  <c:v>Bi-Fold Doors</c:v>
                </c:pt>
                <c:pt idx="2">
                  <c:v>Sliding Doors</c:v>
                </c:pt>
                <c:pt idx="3">
                  <c:v>Soundproof Windows</c:v>
                </c:pt>
                <c:pt idx="4">
                  <c:v>Casement Windows</c:v>
                </c:pt>
              </c:strCache>
            </c:strRef>
          </c:cat>
          <c:val>
            <c:numRef>
              <c:f>'Top 5 Products by Sum of Netsal'!$B$4:$B$9</c:f>
              <c:numCache>
                <c:formatCode>General</c:formatCode>
                <c:ptCount val="5"/>
                <c:pt idx="0">
                  <c:v>9280504.799999997</c:v>
                </c:pt>
                <c:pt idx="1">
                  <c:v>8533032</c:v>
                </c:pt>
                <c:pt idx="2">
                  <c:v>6363407.2000000002</c:v>
                </c:pt>
                <c:pt idx="3">
                  <c:v>5258497.3999999985</c:v>
                </c:pt>
                <c:pt idx="4">
                  <c:v>4570298.55</c:v>
                </c:pt>
              </c:numCache>
            </c:numRef>
          </c:val>
          <c:extLst>
            <c:ext xmlns:c16="http://schemas.microsoft.com/office/drawing/2014/chart" uri="{C3380CC4-5D6E-409C-BE32-E72D297353CC}">
              <c16:uniqueId val="{00000000-D13D-4E7A-BACA-02F2BEC4BD77}"/>
            </c:ext>
          </c:extLst>
        </c:ser>
        <c:dLbls>
          <c:showLegendKey val="0"/>
          <c:showVal val="0"/>
          <c:showCatName val="0"/>
          <c:showSerName val="0"/>
          <c:showPercent val="0"/>
          <c:showBubbleSize val="0"/>
        </c:dLbls>
        <c:gapWidth val="219"/>
        <c:overlap val="-27"/>
        <c:axId val="475036431"/>
        <c:axId val="475050575"/>
      </c:barChart>
      <c:catAx>
        <c:axId val="47503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050575"/>
        <c:crosses val="autoZero"/>
        <c:auto val="1"/>
        <c:lblAlgn val="ctr"/>
        <c:lblOffset val="100"/>
        <c:noMultiLvlLbl val="0"/>
      </c:catAx>
      <c:valAx>
        <c:axId val="47505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03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[Fenesta_TamilNadu_Dataset.xlsx]PVT_Monthly_Performance!Monthly_Perfomance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Net Sales – Selected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PVT_Monthly_Performance!$B$3</c:f>
              <c:strCache>
                <c:ptCount val="1"/>
                <c:pt idx="0">
                  <c:v>Total</c:v>
                </c:pt>
              </c:strCache>
            </c:strRef>
          </c:tx>
          <c:spPr>
            <a:ln w="28575" cap="rnd">
              <a:solidFill>
                <a:schemeClr val="accent1"/>
              </a:solidFill>
              <a:round/>
            </a:ln>
            <a:effectLst/>
          </c:spPr>
          <c:marker>
            <c:symbol val="none"/>
          </c:marker>
          <c:cat>
            <c:strRef>
              <c:f>PVT_Monthly_Performance!$A$4:$A$16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PVT_Monthly_Performance!$B$4:$B$16</c:f>
              <c:numCache>
                <c:formatCode>General</c:formatCode>
                <c:ptCount val="12"/>
                <c:pt idx="0">
                  <c:v>0</c:v>
                </c:pt>
                <c:pt idx="1">
                  <c:v>876319.20000000019</c:v>
                </c:pt>
                <c:pt idx="2">
                  <c:v>855786.7</c:v>
                </c:pt>
                <c:pt idx="3">
                  <c:v>238214.19999999998</c:v>
                </c:pt>
                <c:pt idx="4">
                  <c:v>802665.8</c:v>
                </c:pt>
                <c:pt idx="5">
                  <c:v>471945.55</c:v>
                </c:pt>
                <c:pt idx="6">
                  <c:v>414507.6</c:v>
                </c:pt>
                <c:pt idx="7">
                  <c:v>853973.60000000009</c:v>
                </c:pt>
                <c:pt idx="8">
                  <c:v>413624.4</c:v>
                </c:pt>
                <c:pt idx="9">
                  <c:v>160012.79999999999</c:v>
                </c:pt>
                <c:pt idx="10">
                  <c:v>172484.6</c:v>
                </c:pt>
                <c:pt idx="11">
                  <c:v>462420.2</c:v>
                </c:pt>
              </c:numCache>
            </c:numRef>
          </c:val>
          <c:smooth val="0"/>
          <c:extLst>
            <c:ext xmlns:c16="http://schemas.microsoft.com/office/drawing/2014/chart" uri="{C3380CC4-5D6E-409C-BE32-E72D297353CC}">
              <c16:uniqueId val="{00000000-1F2B-465B-8A19-287D6D99CD74}"/>
            </c:ext>
          </c:extLst>
        </c:ser>
        <c:dLbls>
          <c:showLegendKey val="0"/>
          <c:showVal val="0"/>
          <c:showCatName val="0"/>
          <c:showSerName val="0"/>
          <c:showPercent val="0"/>
          <c:showBubbleSize val="0"/>
        </c:dLbls>
        <c:smooth val="0"/>
        <c:axId val="1636078495"/>
        <c:axId val="1636075583"/>
      </c:lineChart>
      <c:catAx>
        <c:axId val="163607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075583"/>
        <c:crosses val="autoZero"/>
        <c:auto val="1"/>
        <c:lblAlgn val="ctr"/>
        <c:lblOffset val="100"/>
        <c:noMultiLvlLbl val="0"/>
      </c:catAx>
      <c:valAx>
        <c:axId val="1636075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Net</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07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Quarterly Sales vs Average Benchmark</a:t>
            </a:r>
            <a:endParaRPr lang="en-IN"/>
          </a:p>
        </c:rich>
      </c:tx>
      <c:layout>
        <c:manualLayout>
          <c:xMode val="edge"/>
          <c:yMode val="edge"/>
          <c:x val="0.1894860017497813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PVT_Quarterly_Performance!$E$3</c:f>
              <c:strCache>
                <c:ptCount val="1"/>
                <c:pt idx="0">
                  <c:v>Selected Salesperson</c:v>
                </c:pt>
              </c:strCache>
            </c:strRef>
          </c:tx>
          <c:spPr>
            <a:solidFill>
              <a:schemeClr val="accent1"/>
            </a:solidFill>
            <a:ln>
              <a:noFill/>
            </a:ln>
            <a:effectLst/>
          </c:spPr>
          <c:invertIfNegative val="0"/>
          <c:cat>
            <c:strRef>
              <c:f>PVT_Quarterly_Performance!$D$4:$D$7</c:f>
              <c:strCache>
                <c:ptCount val="4"/>
                <c:pt idx="0">
                  <c:v>Q1</c:v>
                </c:pt>
                <c:pt idx="1">
                  <c:v>Q2</c:v>
                </c:pt>
                <c:pt idx="2">
                  <c:v>Q3</c:v>
                </c:pt>
                <c:pt idx="3">
                  <c:v>Q4</c:v>
                </c:pt>
              </c:strCache>
            </c:strRef>
          </c:cat>
          <c:val>
            <c:numRef>
              <c:f>PVT_Quarterly_Performance!$E$4:$E$7</c:f>
              <c:numCache>
                <c:formatCode>General</c:formatCode>
                <c:ptCount val="4"/>
                <c:pt idx="0">
                  <c:v>1732105.9000000001</c:v>
                </c:pt>
                <c:pt idx="1">
                  <c:v>1512825.5500000003</c:v>
                </c:pt>
                <c:pt idx="2">
                  <c:v>1682105.6</c:v>
                </c:pt>
                <c:pt idx="3">
                  <c:v>794917.60000000009</c:v>
                </c:pt>
              </c:numCache>
            </c:numRef>
          </c:val>
          <c:extLst>
            <c:ext xmlns:c16="http://schemas.microsoft.com/office/drawing/2014/chart" uri="{C3380CC4-5D6E-409C-BE32-E72D297353CC}">
              <c16:uniqueId val="{00000000-B5A5-491D-A6F2-731A3C1D5887}"/>
            </c:ext>
          </c:extLst>
        </c:ser>
        <c:dLbls>
          <c:showLegendKey val="0"/>
          <c:showVal val="0"/>
          <c:showCatName val="0"/>
          <c:showSerName val="0"/>
          <c:showPercent val="0"/>
          <c:showBubbleSize val="0"/>
        </c:dLbls>
        <c:gapWidth val="219"/>
        <c:overlap val="-27"/>
        <c:axId val="623759935"/>
        <c:axId val="623763263"/>
      </c:barChart>
      <c:lineChart>
        <c:grouping val="standard"/>
        <c:varyColors val="0"/>
        <c:ser>
          <c:idx val="1"/>
          <c:order val="1"/>
          <c:tx>
            <c:strRef>
              <c:f>PVT_Quarterly_Performance!$F$3</c:f>
              <c:strCache>
                <c:ptCount val="1"/>
                <c:pt idx="0">
                  <c:v>Average Benchmark</c:v>
                </c:pt>
              </c:strCache>
            </c:strRef>
          </c:tx>
          <c:spPr>
            <a:ln w="28575" cap="rnd">
              <a:solidFill>
                <a:schemeClr val="accent2"/>
              </a:solidFill>
              <a:round/>
            </a:ln>
            <a:effectLst/>
          </c:spPr>
          <c:marker>
            <c:symbol val="none"/>
          </c:marker>
          <c:cat>
            <c:strRef>
              <c:f>PVT_Quarterly_Performance!$D$4:$D$7</c:f>
              <c:strCache>
                <c:ptCount val="4"/>
                <c:pt idx="0">
                  <c:v>Q1</c:v>
                </c:pt>
                <c:pt idx="1">
                  <c:v>Q2</c:v>
                </c:pt>
                <c:pt idx="2">
                  <c:v>Q3</c:v>
                </c:pt>
                <c:pt idx="3">
                  <c:v>Q4</c:v>
                </c:pt>
              </c:strCache>
            </c:strRef>
          </c:cat>
          <c:val>
            <c:numRef>
              <c:f>PVT_Quarterly_Performance!$F$4:$F$7</c:f>
              <c:numCache>
                <c:formatCode>#,##0.00</c:formatCode>
                <c:ptCount val="4"/>
                <c:pt idx="0">
                  <c:v>1399592.27</c:v>
                </c:pt>
                <c:pt idx="1">
                  <c:v>1646009.69</c:v>
                </c:pt>
                <c:pt idx="2">
                  <c:v>1381220.73</c:v>
                </c:pt>
                <c:pt idx="3">
                  <c:v>1367372.17</c:v>
                </c:pt>
              </c:numCache>
            </c:numRef>
          </c:val>
          <c:smooth val="0"/>
          <c:extLst>
            <c:ext xmlns:c16="http://schemas.microsoft.com/office/drawing/2014/chart" uri="{C3380CC4-5D6E-409C-BE32-E72D297353CC}">
              <c16:uniqueId val="{00000001-B5A5-491D-A6F2-731A3C1D5887}"/>
            </c:ext>
          </c:extLst>
        </c:ser>
        <c:dLbls>
          <c:showLegendKey val="0"/>
          <c:showVal val="0"/>
          <c:showCatName val="0"/>
          <c:showSerName val="0"/>
          <c:showPercent val="0"/>
          <c:showBubbleSize val="0"/>
        </c:dLbls>
        <c:marker val="1"/>
        <c:smooth val="0"/>
        <c:axId val="623759935"/>
        <c:axId val="623763263"/>
      </c:lineChart>
      <c:catAx>
        <c:axId val="62375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63263"/>
        <c:crosses val="autoZero"/>
        <c:auto val="1"/>
        <c:lblAlgn val="ctr"/>
        <c:lblOffset val="100"/>
        <c:noMultiLvlLbl val="0"/>
      </c:catAx>
      <c:valAx>
        <c:axId val="62376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59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7143</xdr:colOff>
      <xdr:row>3</xdr:row>
      <xdr:rowOff>69056</xdr:rowOff>
    </xdr:from>
    <xdr:to>
      <xdr:col>9</xdr:col>
      <xdr:colOff>121443</xdr:colOff>
      <xdr:row>18</xdr:row>
      <xdr:rowOff>97631</xdr:rowOff>
    </xdr:to>
    <xdr:graphicFrame macro="">
      <xdr:nvGraphicFramePr>
        <xdr:cNvPr id="2" name="Chart 1">
          <a:extLst>
            <a:ext uri="{FF2B5EF4-FFF2-40B4-BE49-F238E27FC236}">
              <a16:creationId xmlns:a16="http://schemas.microsoft.com/office/drawing/2014/main" id="{F88A44D6-8F11-44DB-9E05-813040B5B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526256</xdr:colOff>
      <xdr:row>2</xdr:row>
      <xdr:rowOff>173831</xdr:rowOff>
    </xdr:from>
    <xdr:to>
      <xdr:col>10</xdr:col>
      <xdr:colOff>564356</xdr:colOff>
      <xdr:row>18</xdr:row>
      <xdr:rowOff>21431</xdr:rowOff>
    </xdr:to>
    <xdr:graphicFrame macro="">
      <xdr:nvGraphicFramePr>
        <xdr:cNvPr id="2" name="Chart 1">
          <a:extLst>
            <a:ext uri="{FF2B5EF4-FFF2-40B4-BE49-F238E27FC236}">
              <a16:creationId xmlns:a16="http://schemas.microsoft.com/office/drawing/2014/main" id="{CD161B86-30F3-4119-8363-EDE090A0A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13608</xdr:rowOff>
    </xdr:from>
    <xdr:to>
      <xdr:col>7</xdr:col>
      <xdr:colOff>149678</xdr:colOff>
      <xdr:row>21</xdr:row>
      <xdr:rowOff>20410</xdr:rowOff>
    </xdr:to>
    <xdr:graphicFrame macro="">
      <xdr:nvGraphicFramePr>
        <xdr:cNvPr id="2" name="Chart 1">
          <a:extLst>
            <a:ext uri="{FF2B5EF4-FFF2-40B4-BE49-F238E27FC236}">
              <a16:creationId xmlns:a16="http://schemas.microsoft.com/office/drawing/2014/main" id="{87259D53-ECE4-4345-8CC6-A5FCBCDB4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340177</xdr:colOff>
      <xdr:row>9</xdr:row>
      <xdr:rowOff>6803</xdr:rowOff>
    </xdr:from>
    <xdr:to>
      <xdr:col>15</xdr:col>
      <xdr:colOff>12750</xdr:colOff>
      <xdr:row>21</xdr:row>
      <xdr:rowOff>47625</xdr:rowOff>
    </xdr:to>
    <xdr:graphicFrame macro="">
      <xdr:nvGraphicFramePr>
        <xdr:cNvPr id="3" name="Chart 2">
          <a:extLst>
            <a:ext uri="{FF2B5EF4-FFF2-40B4-BE49-F238E27FC236}">
              <a16:creationId xmlns:a16="http://schemas.microsoft.com/office/drawing/2014/main" id="{CC13F28D-A5D0-4570-A694-9A27082DF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47625</xdr:rowOff>
    </xdr:from>
    <xdr:to>
      <xdr:col>7</xdr:col>
      <xdr:colOff>155624</xdr:colOff>
      <xdr:row>34</xdr:row>
      <xdr:rowOff>3268</xdr:rowOff>
    </xdr:to>
    <xdr:graphicFrame macro="">
      <xdr:nvGraphicFramePr>
        <xdr:cNvPr id="4" name="Chart 3">
          <a:extLst>
            <a:ext uri="{FF2B5EF4-FFF2-40B4-BE49-F238E27FC236}">
              <a16:creationId xmlns:a16="http://schemas.microsoft.com/office/drawing/2014/main" id="{0D69DE02-8F01-4D1F-A156-D8ADEE9B7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346981</xdr:colOff>
      <xdr:row>22</xdr:row>
      <xdr:rowOff>54429</xdr:rowOff>
    </xdr:from>
    <xdr:to>
      <xdr:col>15</xdr:col>
      <xdr:colOff>47624</xdr:colOff>
      <xdr:row>34</xdr:row>
      <xdr:rowOff>16876</xdr:rowOff>
    </xdr:to>
    <xdr:graphicFrame macro="">
      <xdr:nvGraphicFramePr>
        <xdr:cNvPr id="5" name="Chart 4">
          <a:extLst>
            <a:ext uri="{FF2B5EF4-FFF2-40B4-BE49-F238E27FC236}">
              <a16:creationId xmlns:a16="http://schemas.microsoft.com/office/drawing/2014/main" id="{EBA6FF07-3BFC-4E59-B78B-D2BD0289F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40822</xdr:colOff>
      <xdr:row>5</xdr:row>
      <xdr:rowOff>59873</xdr:rowOff>
    </xdr:from>
    <xdr:to>
      <xdr:col>15</xdr:col>
      <xdr:colOff>20410</xdr:colOff>
      <xdr:row>9</xdr:row>
      <xdr:rowOff>13608</xdr:rowOff>
    </xdr:to>
    <mc:AlternateContent xmlns:mc="http://schemas.openxmlformats.org/markup-compatibility/2006">
      <mc:Choice xmlns:a14="http://schemas.microsoft.com/office/drawing/2010/main" Requires="a14">
        <xdr:graphicFrame macro="">
          <xdr:nvGraphicFramePr>
            <xdr:cNvPr id="6" name="Salesperson 1">
              <a:extLst>
                <a:ext uri="{FF2B5EF4-FFF2-40B4-BE49-F238E27FC236}">
                  <a16:creationId xmlns:a16="http://schemas.microsoft.com/office/drawing/2014/main" id="{E3D5D6E6-D78A-4792-BC6B-E8C1DB4C2D76}"/>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7796893" y="1366159"/>
              <a:ext cx="1918607" cy="688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16666</xdr:colOff>
      <xdr:row>2</xdr:row>
      <xdr:rowOff>2381</xdr:rowOff>
    </xdr:from>
    <xdr:to>
      <xdr:col>10</xdr:col>
      <xdr:colOff>214311</xdr:colOff>
      <xdr:row>17</xdr:row>
      <xdr:rowOff>30956</xdr:rowOff>
    </xdr:to>
    <xdr:graphicFrame macro="">
      <xdr:nvGraphicFramePr>
        <xdr:cNvPr id="2" name="Chart 1">
          <a:extLst>
            <a:ext uri="{FF2B5EF4-FFF2-40B4-BE49-F238E27FC236}">
              <a16:creationId xmlns:a16="http://schemas.microsoft.com/office/drawing/2014/main" id="{899BAEF8-96D9-465B-92B5-D4FB876F0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16</xdr:row>
      <xdr:rowOff>52387</xdr:rowOff>
    </xdr:from>
    <xdr:to>
      <xdr:col>2</xdr:col>
      <xdr:colOff>333375</xdr:colOff>
      <xdr:row>30</xdr:row>
      <xdr:rowOff>42862</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208A708D-BC64-4B32-B4D5-CBF5AD2A500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0" y="294798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483393</xdr:colOff>
      <xdr:row>3</xdr:row>
      <xdr:rowOff>26194</xdr:rowOff>
    </xdr:from>
    <xdr:to>
      <xdr:col>8</xdr:col>
      <xdr:colOff>669130</xdr:colOff>
      <xdr:row>18</xdr:row>
      <xdr:rowOff>54769</xdr:rowOff>
    </xdr:to>
    <xdr:graphicFrame macro="">
      <xdr:nvGraphicFramePr>
        <xdr:cNvPr id="5" name="Chart 4">
          <a:extLst>
            <a:ext uri="{FF2B5EF4-FFF2-40B4-BE49-F238E27FC236}">
              <a16:creationId xmlns:a16="http://schemas.microsoft.com/office/drawing/2014/main" id="{03EA521E-1A5A-4384-A1A2-A9CE57375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226218</xdr:colOff>
      <xdr:row>2</xdr:row>
      <xdr:rowOff>97631</xdr:rowOff>
    </xdr:from>
    <xdr:to>
      <xdr:col>12</xdr:col>
      <xdr:colOff>364330</xdr:colOff>
      <xdr:row>16</xdr:row>
      <xdr:rowOff>126206</xdr:rowOff>
    </xdr:to>
    <xdr:graphicFrame macro="">
      <xdr:nvGraphicFramePr>
        <xdr:cNvPr id="2" name="Chart 1">
          <a:extLst>
            <a:ext uri="{FF2B5EF4-FFF2-40B4-BE49-F238E27FC236}">
              <a16:creationId xmlns:a16="http://schemas.microsoft.com/office/drawing/2014/main" id="{1208D100-7534-4FFF-8E54-EC8AD21D6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IAOMI" refreshedDate="46269.017529166667" createdVersion="7" refreshedVersion="7" minRefreshableVersion="3" recordCount="421" xr:uid="{A7893D14-A3B4-43C9-A685-F1D0713A2993}">
  <cacheSource type="worksheet">
    <worksheetSource name="Sales_Data"/>
  </cacheSource>
  <cacheFields count="31">
    <cacheField name="Order_ID" numFmtId="0">
      <sharedItems/>
    </cacheField>
    <cacheField name="Customer_ID" numFmtId="0">
      <sharedItems/>
    </cacheField>
    <cacheField name="Product" numFmtId="0">
      <sharedItems count="8">
        <s v="Soundproof Windows"/>
        <s v="Bi-Fold Doors"/>
        <s v="Aluminium Windows"/>
        <s v="uPVC Windows"/>
        <s v="Casement Windows"/>
        <s v="French Doors"/>
        <s v="Sliding Doors"/>
        <s v="uPVC Doors"/>
      </sharedItems>
    </cacheField>
    <cacheField name="Order_Date" numFmtId="164">
      <sharedItems containsSemiMixedTypes="0" containsNonDate="0" containsDate="1" containsString="0" minDate="2025-01-01T00:00:00" maxDate="2026-01-01T00:00:00"/>
    </cacheField>
    <cacheField name="Customer_Type" numFmtId="0">
      <sharedItems/>
    </cacheField>
    <cacheField name="District" numFmtId="0">
      <sharedItems count="4">
        <s v="Coimbatore"/>
        <s v="Chennai"/>
        <s v="Madurai"/>
        <s v="Tiruchirappalli"/>
      </sharedItems>
    </cacheField>
    <cacheField name="Salesperson" numFmtId="0">
      <sharedItems count="8">
        <s v="Divya"/>
        <s v="Rahul"/>
        <s v="Sneha"/>
        <s v="Meena"/>
        <s v="Vikram"/>
        <s v="Priya"/>
        <s v="Arun"/>
        <s v="Karthik"/>
      </sharedItems>
    </cacheField>
    <cacheField name="Lead_Source" numFmtId="0">
      <sharedItems/>
    </cacheField>
    <cacheField name="Product_ID" numFmtId="0">
      <sharedItems/>
    </cacheField>
    <cacheField name="Product2" numFmtId="0">
      <sharedItems/>
    </cacheField>
    <cacheField name="Category" numFmtId="0">
      <sharedItems/>
    </cacheField>
    <cacheField name="Quantity" numFmtId="0">
      <sharedItems containsSemiMixedTypes="0" containsString="0" containsNumber="1" containsInteger="1" minValue="1" maxValue="6"/>
    </cacheField>
    <cacheField name="Unit_Price" numFmtId="0">
      <sharedItems containsSemiMixedTypes="0" containsString="0" containsNumber="1" containsInteger="1" minValue="16206" maxValue="63075"/>
    </cacheField>
    <cacheField name="Discount_%" numFmtId="0">
      <sharedItems containsSemiMixedTypes="0" containsString="0" containsNumber="1" minValue="0" maxValue="0.2"/>
    </cacheField>
    <cacheField name="Gross_Value" numFmtId="0">
      <sharedItems containsSemiMixedTypes="0" containsString="0" containsNumber="1" containsInteger="1" minValue="16269" maxValue="369804"/>
    </cacheField>
    <cacheField name="Discount_Value" numFmtId="0">
      <sharedItems containsSemiMixedTypes="0" containsString="0" containsNumber="1" minValue="0" maxValue="67431.600000000006"/>
    </cacheField>
    <cacheField name="Net_Sales" numFmtId="0">
      <sharedItems containsSemiMixedTypes="0" containsString="0" containsNumber="1" minValue="13368" maxValue="369804"/>
    </cacheField>
    <cacheField name="Year" numFmtId="0">
      <sharedItems containsSemiMixedTypes="0" containsString="0" containsNumber="1" containsInteger="1" minValue="2025" maxValue="2025"/>
    </cacheField>
    <cacheField name="MONTH" numFmtId="0">
      <sharedItems count="12">
        <s v="October"/>
        <s v="June"/>
        <s v="February"/>
        <s v="November"/>
        <s v="May"/>
        <s v="April"/>
        <s v="September"/>
        <s v="December"/>
        <s v="August"/>
        <s v="March"/>
        <s v="January"/>
        <s v="July"/>
      </sharedItems>
    </cacheField>
    <cacheField name="MONTH_NUMBER" numFmtId="0">
      <sharedItems containsSemiMixedTypes="0" containsString="0" containsNumber="1" containsInteger="1" minValue="1" maxValue="12"/>
    </cacheField>
    <cacheField name="QUARTER" numFmtId="0">
      <sharedItems count="4">
        <s v="Q4"/>
        <s v="Q2"/>
        <s v="Q1"/>
        <s v="Q3"/>
      </sharedItems>
    </cacheField>
    <cacheField name="Lead_Status" numFmtId="0">
      <sharedItems/>
    </cacheField>
    <cacheField name="Payment_Status" numFmtId="0">
      <sharedItems/>
    </cacheField>
    <cacheField name="Installation_Status" numFmtId="0">
      <sharedItems/>
    </cacheField>
    <cacheField name="Site_Visit_Days" numFmtId="0">
      <sharedItems containsSemiMixedTypes="0" containsString="0" containsNumber="1" containsInteger="1" minValue="1" maxValue="7"/>
    </cacheField>
    <cacheField name="Installation_Days" numFmtId="0">
      <sharedItems containsSemiMixedTypes="0" containsString="0" containsNumber="1" containsInteger="1" minValue="5" maxValue="30"/>
    </cacheField>
    <cacheField name="Customer_Rating" numFmtId="0">
      <sharedItems containsSemiMixedTypes="0" containsString="0" containsNumber="1" containsInteger="1" minValue="1" maxValue="5"/>
    </cacheField>
    <cacheField name="Month2" numFmtId="0">
      <sharedItems/>
    </cacheField>
    <cacheField name="Quarter2" numFmtId="0">
      <sharedItems/>
    </cacheField>
    <cacheField name="Year2" numFmtId="0">
      <sharedItems containsSemiMixedTypes="0" containsString="0" containsNumber="1" containsInteger="1" minValue="2025" maxValue="2025"/>
    </cacheField>
    <cacheField name="avg bechmark" numFmtId="0" formula="Net_Sales/8" databaseField="0"/>
  </cacheFields>
  <extLst>
    <ext xmlns:x14="http://schemas.microsoft.com/office/spreadsheetml/2009/9/main" uri="{725AE2AE-9491-48be-B2B4-4EB974FC3084}">
      <x14:pivotCacheDefinition pivotCacheId="2019671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1">
  <r>
    <s v="FN10002"/>
    <s v="CUST1002"/>
    <x v="0"/>
    <d v="2025-10-21T00:00:00"/>
    <s v="Commercial"/>
    <x v="0"/>
    <x v="0"/>
    <s v="Walk-in"/>
    <s v="P008"/>
    <s v="Soundproof Windows"/>
    <s v="Windows"/>
    <n v="2"/>
    <n v="45381"/>
    <n v="0.05"/>
    <n v="90762"/>
    <n v="4538.1000000000004"/>
    <n v="86223.9"/>
    <n v="2025"/>
    <x v="0"/>
    <n v="10"/>
    <x v="0"/>
    <s v="Converted"/>
    <s v="Paid"/>
    <s v="In Progress"/>
    <n v="2"/>
    <n v="20"/>
    <n v="3"/>
    <s v="Oct"/>
    <s v="Q4"/>
    <n v="2025"/>
  </r>
  <r>
    <s v="FN10003"/>
    <s v="CUST1003"/>
    <x v="1"/>
    <d v="2025-06-24T00:00:00"/>
    <s v="Commercial"/>
    <x v="1"/>
    <x v="1"/>
    <s v="Walk-in"/>
    <s v="P006"/>
    <s v="Bi-Fold Doors"/>
    <s v="Doors"/>
    <n v="6"/>
    <n v="52245"/>
    <n v="0.1"/>
    <n v="313470"/>
    <n v="31347"/>
    <n v="282123"/>
    <n v="2025"/>
    <x v="1"/>
    <n v="6"/>
    <x v="1"/>
    <s v="Negotiation"/>
    <s v="Paid"/>
    <s v="Completed"/>
    <n v="4"/>
    <n v="29"/>
    <n v="5"/>
    <s v="Jun"/>
    <s v="Q2"/>
    <n v="2025"/>
  </r>
  <r>
    <s v="FN10005"/>
    <s v="CUST1005"/>
    <x v="2"/>
    <d v="2025-02-23T00:00:00"/>
    <s v="Commercial"/>
    <x v="0"/>
    <x v="2"/>
    <s v="Google Ads"/>
    <s v="P002"/>
    <s v="Aluminium Windows"/>
    <s v="Windows"/>
    <n v="2"/>
    <n v="22922"/>
    <n v="0"/>
    <n v="45844"/>
    <n v="0"/>
    <n v="45844"/>
    <n v="2025"/>
    <x v="2"/>
    <n v="2"/>
    <x v="2"/>
    <s v="Converted"/>
    <s v="Pending"/>
    <s v="In Progress"/>
    <n v="7"/>
    <n v="12"/>
    <n v="4"/>
    <s v="Feb"/>
    <s v="Q1"/>
    <n v="2025"/>
  </r>
  <r>
    <s v="FN10008"/>
    <s v="CUST1008"/>
    <x v="3"/>
    <d v="2025-11-24T00:00:00"/>
    <s v="Residential"/>
    <x v="2"/>
    <x v="3"/>
    <s v="Walk-in"/>
    <s v="P001"/>
    <s v="uPVC Windows"/>
    <s v="Windows"/>
    <n v="4"/>
    <n v="17689"/>
    <n v="0"/>
    <n v="70756"/>
    <n v="0"/>
    <n v="70756"/>
    <n v="2025"/>
    <x v="3"/>
    <n v="11"/>
    <x v="0"/>
    <s v="Site Visit"/>
    <s v="Partially Paid"/>
    <s v="Scheduled"/>
    <n v="1"/>
    <n v="7"/>
    <n v="2"/>
    <s v="Nov"/>
    <s v="Q4"/>
    <n v="2025"/>
  </r>
  <r>
    <s v="FN10009"/>
    <s v="CUST1009"/>
    <x v="1"/>
    <d v="2025-05-11T00:00:00"/>
    <s v="Commercial"/>
    <x v="3"/>
    <x v="1"/>
    <s v="Website"/>
    <s v="P006"/>
    <s v="Bi-Fold Doors"/>
    <s v="Doors"/>
    <n v="1"/>
    <n v="59423"/>
    <n v="0.05"/>
    <n v="59423"/>
    <n v="2971.15"/>
    <n v="56451.85"/>
    <n v="2025"/>
    <x v="4"/>
    <n v="5"/>
    <x v="1"/>
    <s v="Site Visit"/>
    <s v="Paid"/>
    <s v="Completed"/>
    <n v="3"/>
    <n v="11"/>
    <n v="4"/>
    <s v="May"/>
    <s v="Q2"/>
    <n v="2025"/>
  </r>
  <r>
    <s v="FN10010"/>
    <s v="CUST1010"/>
    <x v="4"/>
    <d v="2025-04-06T00:00:00"/>
    <s v="Residential"/>
    <x v="3"/>
    <x v="1"/>
    <s v="Walk-in"/>
    <s v="P005"/>
    <s v="Casement Windows"/>
    <s v="Windows"/>
    <n v="4"/>
    <n v="29299"/>
    <n v="0.05"/>
    <n v="117196"/>
    <n v="5859.8"/>
    <n v="111336.2"/>
    <n v="2025"/>
    <x v="5"/>
    <n v="4"/>
    <x v="1"/>
    <s v="Converted"/>
    <s v="Paid"/>
    <s v="Completed"/>
    <n v="6"/>
    <n v="6"/>
    <n v="5"/>
    <s v="Apr"/>
    <s v="Q2"/>
    <n v="2025"/>
  </r>
  <r>
    <s v="FN10011"/>
    <s v="CUST1011"/>
    <x v="1"/>
    <d v="2025-05-14T00:00:00"/>
    <s v="Commercial"/>
    <x v="2"/>
    <x v="1"/>
    <s v="Google Ads"/>
    <s v="P006"/>
    <s v="Bi-Fold Doors"/>
    <s v="Doors"/>
    <n v="4"/>
    <n v="60550"/>
    <n v="0.05"/>
    <n v="242200"/>
    <n v="12110"/>
    <n v="230090"/>
    <n v="2025"/>
    <x v="4"/>
    <n v="5"/>
    <x v="1"/>
    <s v="Converted"/>
    <s v="Paid"/>
    <s v="Scheduled"/>
    <n v="1"/>
    <n v="29"/>
    <n v="5"/>
    <s v="May"/>
    <s v="Q2"/>
    <n v="2025"/>
  </r>
  <r>
    <s v="FN10014"/>
    <s v="CUST1014"/>
    <x v="5"/>
    <d v="2025-02-23T00:00:00"/>
    <s v="Commercial"/>
    <x v="0"/>
    <x v="4"/>
    <s v="Referral"/>
    <s v="P004"/>
    <s v="French Doors"/>
    <s v="Doors"/>
    <n v="5"/>
    <n v="41423"/>
    <n v="0.1"/>
    <n v="207115"/>
    <n v="20711.5"/>
    <n v="186403.5"/>
    <n v="2025"/>
    <x v="2"/>
    <n v="2"/>
    <x v="2"/>
    <s v="Converted"/>
    <s v="Paid"/>
    <s v="In Progress"/>
    <n v="7"/>
    <n v="15"/>
    <n v="4"/>
    <s v="Feb"/>
    <s v="Q1"/>
    <n v="2025"/>
  </r>
  <r>
    <s v="FN10015"/>
    <s v="CUST1015"/>
    <x v="3"/>
    <d v="2025-09-12T00:00:00"/>
    <s v="Commercial"/>
    <x v="2"/>
    <x v="1"/>
    <s v="Instagram"/>
    <s v="P001"/>
    <s v="uPVC Windows"/>
    <s v="Windows"/>
    <n v="6"/>
    <n v="17855"/>
    <n v="0.1"/>
    <n v="107130"/>
    <n v="10713"/>
    <n v="96417"/>
    <n v="2025"/>
    <x v="6"/>
    <n v="9"/>
    <x v="3"/>
    <s v="Converted"/>
    <s v="Pending"/>
    <s v="Completed"/>
    <n v="6"/>
    <n v="20"/>
    <n v="2"/>
    <s v="Sep"/>
    <s v="Q3"/>
    <n v="2025"/>
  </r>
  <r>
    <s v="FN10017"/>
    <s v="CUST1017"/>
    <x v="5"/>
    <d v="2025-05-31T00:00:00"/>
    <s v="Commercial"/>
    <x v="0"/>
    <x v="3"/>
    <s v="Website"/>
    <s v="P004"/>
    <s v="French Doors"/>
    <s v="Doors"/>
    <n v="6"/>
    <n v="45105"/>
    <n v="0.05"/>
    <n v="270630"/>
    <n v="13531.5"/>
    <n v="257098.5"/>
    <n v="2025"/>
    <x v="4"/>
    <n v="5"/>
    <x v="1"/>
    <s v="Negotiation"/>
    <s v="Paid"/>
    <s v="Delayed"/>
    <n v="6"/>
    <n v="16"/>
    <n v="4"/>
    <s v="May"/>
    <s v="Q2"/>
    <n v="2025"/>
  </r>
  <r>
    <s v="FN10020"/>
    <s v="CUST1020"/>
    <x v="1"/>
    <d v="2025-10-04T00:00:00"/>
    <s v="Residential"/>
    <x v="1"/>
    <x v="3"/>
    <s v="Website"/>
    <s v="P006"/>
    <s v="Bi-Fold Doors"/>
    <s v="Doors"/>
    <n v="4"/>
    <n v="54538"/>
    <n v="0.15"/>
    <n v="218152"/>
    <n v="32722.799999999999"/>
    <n v="185429.2"/>
    <n v="2025"/>
    <x v="0"/>
    <n v="10"/>
    <x v="0"/>
    <s v="Negotiation"/>
    <s v="Paid"/>
    <s v="In Progress"/>
    <n v="6"/>
    <n v="18"/>
    <n v="4"/>
    <s v="Oct"/>
    <s v="Q4"/>
    <n v="2025"/>
  </r>
  <r>
    <s v="FN10024"/>
    <s v="CUST1024"/>
    <x v="0"/>
    <d v="2025-06-23T00:00:00"/>
    <s v="Commercial"/>
    <x v="3"/>
    <x v="1"/>
    <s v="Google Ads"/>
    <s v="P008"/>
    <s v="Soundproof Windows"/>
    <s v="Windows"/>
    <n v="2"/>
    <n v="50580"/>
    <n v="0.2"/>
    <n v="101160"/>
    <n v="20232"/>
    <n v="80928"/>
    <n v="2025"/>
    <x v="1"/>
    <n v="6"/>
    <x v="1"/>
    <s v="New"/>
    <s v="Partially Paid"/>
    <s v="In Progress"/>
    <n v="3"/>
    <n v="26"/>
    <n v="4"/>
    <s v="Jun"/>
    <s v="Q2"/>
    <n v="2025"/>
  </r>
  <r>
    <s v="FN10026"/>
    <s v="CUST1026"/>
    <x v="6"/>
    <d v="2025-05-23T00:00:00"/>
    <s v="Residential"/>
    <x v="2"/>
    <x v="1"/>
    <s v="Website"/>
    <s v="P003"/>
    <s v="Sliding Doors"/>
    <s v="Doors"/>
    <n v="4"/>
    <n v="36565"/>
    <n v="0.05"/>
    <n v="146260"/>
    <n v="7313"/>
    <n v="138947"/>
    <n v="2025"/>
    <x v="4"/>
    <n v="5"/>
    <x v="1"/>
    <s v="Converted"/>
    <s v="Pending"/>
    <s v="Scheduled"/>
    <n v="2"/>
    <n v="26"/>
    <n v="3"/>
    <s v="May"/>
    <s v="Q2"/>
    <n v="2025"/>
  </r>
  <r>
    <s v="FN10028"/>
    <s v="CUST1028"/>
    <x v="0"/>
    <d v="2025-11-04T00:00:00"/>
    <s v="Residential"/>
    <x v="1"/>
    <x v="3"/>
    <s v="Instagram"/>
    <s v="P008"/>
    <s v="Soundproof Windows"/>
    <s v="Windows"/>
    <n v="5"/>
    <n v="54834"/>
    <n v="0.1"/>
    <n v="274170"/>
    <n v="27417"/>
    <n v="246753"/>
    <n v="2025"/>
    <x v="3"/>
    <n v="11"/>
    <x v="0"/>
    <s v="Converted"/>
    <s v="Partially Paid"/>
    <s v="Completed"/>
    <n v="2"/>
    <n v="25"/>
    <n v="2"/>
    <s v="Nov"/>
    <s v="Q4"/>
    <n v="2025"/>
  </r>
  <r>
    <s v="FN10029"/>
    <s v="CUST1029"/>
    <x v="7"/>
    <d v="2025-05-09T00:00:00"/>
    <s v="Commercial"/>
    <x v="2"/>
    <x v="0"/>
    <s v="Website"/>
    <s v="P007"/>
    <s v="uPVC Doors"/>
    <s v="Doors"/>
    <n v="2"/>
    <n v="33864"/>
    <n v="0.05"/>
    <n v="67728"/>
    <n v="3386.4"/>
    <n v="64341.599999999999"/>
    <n v="2025"/>
    <x v="4"/>
    <n v="5"/>
    <x v="1"/>
    <s v="Site Visit"/>
    <s v="Paid"/>
    <s v="Delayed"/>
    <n v="7"/>
    <n v="9"/>
    <n v="5"/>
    <s v="May"/>
    <s v="Q2"/>
    <n v="2025"/>
  </r>
  <r>
    <s v="FN10031"/>
    <s v="CUST1031"/>
    <x v="2"/>
    <d v="2025-12-07T00:00:00"/>
    <s v="Residential"/>
    <x v="0"/>
    <x v="5"/>
    <s v="Dealer"/>
    <s v="P002"/>
    <s v="Aluminium Windows"/>
    <s v="Windows"/>
    <n v="4"/>
    <n v="20752"/>
    <n v="0.05"/>
    <n v="83008"/>
    <n v="4150.3999999999996"/>
    <n v="78857.600000000006"/>
    <n v="2025"/>
    <x v="7"/>
    <n v="12"/>
    <x v="0"/>
    <s v="Negotiation"/>
    <s v="Paid"/>
    <s v="Completed"/>
    <n v="2"/>
    <n v="23"/>
    <n v="4"/>
    <s v="Dec"/>
    <s v="Q4"/>
    <n v="2025"/>
  </r>
  <r>
    <s v="FN10032"/>
    <s v="CUST1032"/>
    <x v="3"/>
    <d v="2025-11-21T00:00:00"/>
    <s v="Residential"/>
    <x v="0"/>
    <x v="6"/>
    <s v="Referral"/>
    <s v="P001"/>
    <s v="uPVC Windows"/>
    <s v="Windows"/>
    <n v="5"/>
    <n v="16933"/>
    <n v="0"/>
    <n v="84665"/>
    <n v="0"/>
    <n v="84665"/>
    <n v="2025"/>
    <x v="3"/>
    <n v="11"/>
    <x v="0"/>
    <s v="Negotiation"/>
    <s v="Pending"/>
    <s v="In Progress"/>
    <n v="2"/>
    <n v="7"/>
    <n v="5"/>
    <s v="Nov"/>
    <s v="Q4"/>
    <n v="2025"/>
  </r>
  <r>
    <s v="FN10034"/>
    <s v="CUST1034"/>
    <x v="7"/>
    <d v="2025-12-03T00:00:00"/>
    <s v="Commercial"/>
    <x v="2"/>
    <x v="5"/>
    <s v="Facebook"/>
    <s v="P007"/>
    <s v="uPVC Doors"/>
    <s v="Doors"/>
    <n v="2"/>
    <n v="29392"/>
    <n v="0.15"/>
    <n v="58784"/>
    <n v="8817.6"/>
    <n v="49966.400000000001"/>
    <n v="2025"/>
    <x v="7"/>
    <n v="12"/>
    <x v="0"/>
    <s v="Converted"/>
    <s v="Paid"/>
    <s v="In Progress"/>
    <n v="5"/>
    <n v="15"/>
    <n v="5"/>
    <s v="Dec"/>
    <s v="Q4"/>
    <n v="2025"/>
  </r>
  <r>
    <s v="FN10035"/>
    <s v="CUST1035"/>
    <x v="5"/>
    <d v="2025-08-05T00:00:00"/>
    <s v="Residential"/>
    <x v="1"/>
    <x v="3"/>
    <s v="Facebook"/>
    <s v="P004"/>
    <s v="French Doors"/>
    <s v="Doors"/>
    <n v="5"/>
    <n v="47959"/>
    <n v="0.1"/>
    <n v="239795"/>
    <n v="23979.5"/>
    <n v="215815.5"/>
    <n v="2025"/>
    <x v="8"/>
    <n v="8"/>
    <x v="3"/>
    <s v="Lost"/>
    <s v="Paid"/>
    <s v="Completed"/>
    <n v="7"/>
    <n v="28"/>
    <n v="5"/>
    <s v="Aug"/>
    <s v="Q3"/>
    <n v="2025"/>
  </r>
  <r>
    <s v="FN10037"/>
    <s v="CUST1037"/>
    <x v="3"/>
    <d v="2025-04-10T00:00:00"/>
    <s v="Residential"/>
    <x v="3"/>
    <x v="2"/>
    <s v="Dealer"/>
    <s v="P001"/>
    <s v="uPVC Windows"/>
    <s v="Windows"/>
    <n v="4"/>
    <n v="20513"/>
    <n v="0.15"/>
    <n v="82052"/>
    <n v="12307.8"/>
    <n v="69744.2"/>
    <n v="2025"/>
    <x v="5"/>
    <n v="4"/>
    <x v="1"/>
    <s v="Site Visit"/>
    <s v="Paid"/>
    <s v="Completed"/>
    <n v="5"/>
    <n v="9"/>
    <n v="4"/>
    <s v="Apr"/>
    <s v="Q2"/>
    <n v="2025"/>
  </r>
  <r>
    <s v="FN10038"/>
    <s v="CUST1038"/>
    <x v="3"/>
    <d v="2025-02-22T00:00:00"/>
    <s v="Commercial"/>
    <x v="3"/>
    <x v="0"/>
    <s v="Instagram"/>
    <s v="P001"/>
    <s v="uPVC Windows"/>
    <s v="Windows"/>
    <n v="1"/>
    <n v="16710"/>
    <n v="0.2"/>
    <n v="16710"/>
    <n v="3342"/>
    <n v="13368"/>
    <n v="2025"/>
    <x v="2"/>
    <n v="2"/>
    <x v="2"/>
    <s v="Converted"/>
    <s v="Partially Paid"/>
    <s v="Completed"/>
    <n v="3"/>
    <n v="22"/>
    <n v="5"/>
    <s v="Feb"/>
    <s v="Q1"/>
    <n v="2025"/>
  </r>
  <r>
    <s v="FN10039"/>
    <s v="CUST1039"/>
    <x v="3"/>
    <d v="2025-03-15T00:00:00"/>
    <s v="Residential"/>
    <x v="2"/>
    <x v="4"/>
    <s v="Google Ads"/>
    <s v="P001"/>
    <s v="uPVC Windows"/>
    <s v="Windows"/>
    <n v="2"/>
    <n v="18981"/>
    <n v="0"/>
    <n v="37962"/>
    <n v="0"/>
    <n v="37962"/>
    <n v="2025"/>
    <x v="9"/>
    <n v="3"/>
    <x v="2"/>
    <s v="Converted"/>
    <s v="Pending"/>
    <s v="Completed"/>
    <n v="5"/>
    <n v="9"/>
    <n v="3"/>
    <s v="Mar"/>
    <s v="Q1"/>
    <n v="2025"/>
  </r>
  <r>
    <s v="FN10040"/>
    <s v="CUST1040"/>
    <x v="0"/>
    <d v="2025-12-31T00:00:00"/>
    <s v="Residential"/>
    <x v="1"/>
    <x v="4"/>
    <s v="Referral"/>
    <s v="P008"/>
    <s v="Soundproof Windows"/>
    <s v="Windows"/>
    <n v="1"/>
    <n v="53764"/>
    <n v="0.05"/>
    <n v="53764"/>
    <n v="2688.2"/>
    <n v="51075.8"/>
    <n v="2025"/>
    <x v="7"/>
    <n v="12"/>
    <x v="0"/>
    <s v="Converted"/>
    <s v="Partially Paid"/>
    <s v="Completed"/>
    <n v="4"/>
    <n v="26"/>
    <n v="5"/>
    <s v="Dec"/>
    <s v="Q4"/>
    <n v="2025"/>
  </r>
  <r>
    <s v="FN10041"/>
    <s v="CUST1041"/>
    <x v="2"/>
    <d v="2025-12-12T00:00:00"/>
    <s v="Residential"/>
    <x v="0"/>
    <x v="2"/>
    <s v="Dealer"/>
    <s v="P002"/>
    <s v="Aluminium Windows"/>
    <s v="Windows"/>
    <n v="3"/>
    <n v="20411"/>
    <n v="0.1"/>
    <n v="61233"/>
    <n v="6123.3"/>
    <n v="55109.7"/>
    <n v="2025"/>
    <x v="7"/>
    <n v="12"/>
    <x v="0"/>
    <s v="Converted"/>
    <s v="Paid"/>
    <s v="Completed"/>
    <n v="1"/>
    <n v="11"/>
    <n v="5"/>
    <s v="Dec"/>
    <s v="Q4"/>
    <n v="2025"/>
  </r>
  <r>
    <s v="FN10046"/>
    <s v="CUST1046"/>
    <x v="1"/>
    <d v="2025-02-04T00:00:00"/>
    <s v="Residential"/>
    <x v="3"/>
    <x v="6"/>
    <s v="Google Ads"/>
    <s v="P006"/>
    <s v="Bi-Fold Doors"/>
    <s v="Doors"/>
    <n v="5"/>
    <n v="62432"/>
    <n v="0.05"/>
    <n v="312160"/>
    <n v="15608"/>
    <n v="296552"/>
    <n v="2025"/>
    <x v="2"/>
    <n v="2"/>
    <x v="2"/>
    <s v="Converted"/>
    <s v="Pending"/>
    <s v="In Progress"/>
    <n v="5"/>
    <n v="27"/>
    <n v="4"/>
    <s v="Feb"/>
    <s v="Q1"/>
    <n v="2025"/>
  </r>
  <r>
    <s v="FN10047"/>
    <s v="CUST1047"/>
    <x v="1"/>
    <d v="2025-03-06T00:00:00"/>
    <s v="Residential"/>
    <x v="0"/>
    <x v="7"/>
    <s v="Website"/>
    <s v="P006"/>
    <s v="Bi-Fold Doors"/>
    <s v="Doors"/>
    <n v="2"/>
    <n v="63075"/>
    <n v="0"/>
    <n v="126150"/>
    <n v="0"/>
    <n v="126150"/>
    <n v="2025"/>
    <x v="9"/>
    <n v="3"/>
    <x v="2"/>
    <s v="Lost"/>
    <s v="Pending"/>
    <s v="Scheduled"/>
    <n v="2"/>
    <n v="13"/>
    <n v="4"/>
    <s v="Mar"/>
    <s v="Q1"/>
    <n v="2025"/>
  </r>
  <r>
    <s v="FN10048"/>
    <s v="CUST1048"/>
    <x v="3"/>
    <d v="2025-11-07T00:00:00"/>
    <s v="Residential"/>
    <x v="2"/>
    <x v="1"/>
    <s v="Walk-in"/>
    <s v="P001"/>
    <s v="uPVC Windows"/>
    <s v="Windows"/>
    <n v="6"/>
    <n v="19312"/>
    <n v="0.1"/>
    <n v="115872"/>
    <n v="11587.2"/>
    <n v="104284.8"/>
    <n v="2025"/>
    <x v="3"/>
    <n v="11"/>
    <x v="0"/>
    <s v="Negotiation"/>
    <s v="Partially Paid"/>
    <s v="Scheduled"/>
    <n v="3"/>
    <n v="21"/>
    <n v="3"/>
    <s v="Nov"/>
    <s v="Q4"/>
    <n v="2025"/>
  </r>
  <r>
    <s v="FN10049"/>
    <s v="CUST1049"/>
    <x v="3"/>
    <d v="2025-01-01T00:00:00"/>
    <s v="Residential"/>
    <x v="1"/>
    <x v="3"/>
    <s v="Google Ads"/>
    <s v="P001"/>
    <s v="uPVC Windows"/>
    <s v="Windows"/>
    <n v="3"/>
    <n v="17436"/>
    <n v="0.05"/>
    <n v="52308"/>
    <n v="2615.4"/>
    <n v="49692.6"/>
    <n v="2025"/>
    <x v="10"/>
    <n v="1"/>
    <x v="2"/>
    <s v="Converted"/>
    <s v="Paid"/>
    <s v="In Progress"/>
    <n v="2"/>
    <n v="26"/>
    <n v="5"/>
    <s v="Jan"/>
    <s v="Q1"/>
    <n v="2025"/>
  </r>
  <r>
    <s v="FN10050"/>
    <s v="CUST1050"/>
    <x v="6"/>
    <d v="2025-11-02T00:00:00"/>
    <s v="Commercial"/>
    <x v="2"/>
    <x v="1"/>
    <s v="Website"/>
    <s v="P003"/>
    <s v="Sliding Doors"/>
    <s v="Doors"/>
    <n v="4"/>
    <n v="38643"/>
    <n v="0.2"/>
    <n v="154572"/>
    <n v="30914.400000000001"/>
    <n v="123657.60000000001"/>
    <n v="2025"/>
    <x v="3"/>
    <n v="11"/>
    <x v="0"/>
    <s v="Negotiation"/>
    <s v="Paid"/>
    <s v="Completed"/>
    <n v="5"/>
    <n v="25"/>
    <n v="5"/>
    <s v="Nov"/>
    <s v="Q4"/>
    <n v="2025"/>
  </r>
  <r>
    <s v="FN10051"/>
    <s v="CUST1051"/>
    <x v="6"/>
    <d v="2025-04-13T00:00:00"/>
    <s v="Commercial"/>
    <x v="0"/>
    <x v="5"/>
    <s v="Dealer"/>
    <s v="P003"/>
    <s v="Sliding Doors"/>
    <s v="Doors"/>
    <n v="6"/>
    <n v="36901"/>
    <n v="0.2"/>
    <n v="221406"/>
    <n v="44281.2"/>
    <n v="177124.8"/>
    <n v="2025"/>
    <x v="5"/>
    <n v="4"/>
    <x v="1"/>
    <s v="Negotiation"/>
    <s v="Paid"/>
    <s v="In Progress"/>
    <n v="1"/>
    <n v="10"/>
    <n v="4"/>
    <s v="Apr"/>
    <s v="Q2"/>
    <n v="2025"/>
  </r>
  <r>
    <s v="FN10052"/>
    <s v="CUST1052"/>
    <x v="7"/>
    <d v="2025-01-30T00:00:00"/>
    <s v="Commercial"/>
    <x v="0"/>
    <x v="3"/>
    <s v="Website"/>
    <s v="P007"/>
    <s v="uPVC Doors"/>
    <s v="Doors"/>
    <n v="2"/>
    <n v="33467"/>
    <n v="0.2"/>
    <n v="66934"/>
    <n v="13386.8"/>
    <n v="53547.199999999997"/>
    <n v="2025"/>
    <x v="10"/>
    <n v="1"/>
    <x v="2"/>
    <s v="Negotiation"/>
    <s v="Paid"/>
    <s v="Completed"/>
    <n v="2"/>
    <n v="10"/>
    <n v="4"/>
    <s v="Jan"/>
    <s v="Q1"/>
    <n v="2025"/>
  </r>
  <r>
    <s v="FN10053"/>
    <s v="CUST1053"/>
    <x v="4"/>
    <d v="2025-05-06T00:00:00"/>
    <s v="Residential"/>
    <x v="1"/>
    <x v="7"/>
    <s v="Instagram"/>
    <s v="P005"/>
    <s v="Casement Windows"/>
    <s v="Windows"/>
    <n v="3"/>
    <n v="27167"/>
    <n v="0.05"/>
    <n v="81501"/>
    <n v="4075.05"/>
    <n v="77425.95"/>
    <n v="2025"/>
    <x v="4"/>
    <n v="5"/>
    <x v="1"/>
    <s v="Negotiation"/>
    <s v="Paid"/>
    <s v="In Progress"/>
    <n v="4"/>
    <n v="12"/>
    <n v="5"/>
    <s v="May"/>
    <s v="Q2"/>
    <n v="2025"/>
  </r>
  <r>
    <s v="FN10054"/>
    <s v="CUST1054"/>
    <x v="3"/>
    <d v="2025-07-14T00:00:00"/>
    <s v="Residential"/>
    <x v="0"/>
    <x v="1"/>
    <s v="Facebook"/>
    <s v="P001"/>
    <s v="uPVC Windows"/>
    <s v="Windows"/>
    <n v="3"/>
    <n v="18518"/>
    <n v="0.2"/>
    <n v="55554"/>
    <n v="11110.8"/>
    <n v="44443.199999999997"/>
    <n v="2025"/>
    <x v="11"/>
    <n v="7"/>
    <x v="3"/>
    <s v="New"/>
    <s v="Paid"/>
    <s v="Completed"/>
    <n v="6"/>
    <n v="25"/>
    <n v="4"/>
    <s v="Jul"/>
    <s v="Q3"/>
    <n v="2025"/>
  </r>
  <r>
    <s v="FN10055"/>
    <s v="CUST1055"/>
    <x v="4"/>
    <d v="2025-08-21T00:00:00"/>
    <s v="Commercial"/>
    <x v="0"/>
    <x v="4"/>
    <s v="Facebook"/>
    <s v="P005"/>
    <s v="Casement Windows"/>
    <s v="Windows"/>
    <n v="4"/>
    <n v="24741"/>
    <n v="0.05"/>
    <n v="98964"/>
    <n v="4948.2"/>
    <n v="94015.8"/>
    <n v="2025"/>
    <x v="8"/>
    <n v="8"/>
    <x v="3"/>
    <s v="Converted"/>
    <s v="Partially Paid"/>
    <s v="In Progress"/>
    <n v="7"/>
    <n v="28"/>
    <n v="5"/>
    <s v="Aug"/>
    <s v="Q3"/>
    <n v="2025"/>
  </r>
  <r>
    <s v="FN10056"/>
    <s v="CUST1056"/>
    <x v="7"/>
    <d v="2025-02-17T00:00:00"/>
    <s v="Commercial"/>
    <x v="1"/>
    <x v="1"/>
    <s v="Walk-in"/>
    <s v="P007"/>
    <s v="uPVC Doors"/>
    <s v="Doors"/>
    <n v="5"/>
    <n v="27019"/>
    <n v="0.15"/>
    <n v="135095"/>
    <n v="20264.25"/>
    <n v="114830.75"/>
    <n v="2025"/>
    <x v="2"/>
    <n v="2"/>
    <x v="2"/>
    <s v="Lost"/>
    <s v="Paid"/>
    <s v="Scheduled"/>
    <n v="6"/>
    <n v="30"/>
    <n v="5"/>
    <s v="Feb"/>
    <s v="Q1"/>
    <n v="2025"/>
  </r>
  <r>
    <s v="FN10058"/>
    <s v="CUST1058"/>
    <x v="6"/>
    <d v="2025-01-15T00:00:00"/>
    <s v="Residential"/>
    <x v="1"/>
    <x v="6"/>
    <s v="Instagram"/>
    <s v="P003"/>
    <s v="Sliding Doors"/>
    <s v="Doors"/>
    <n v="1"/>
    <n v="37952"/>
    <n v="0.05"/>
    <n v="37952"/>
    <n v="1897.6"/>
    <n v="36054.400000000001"/>
    <n v="2025"/>
    <x v="10"/>
    <n v="1"/>
    <x v="2"/>
    <s v="Converted"/>
    <s v="Paid"/>
    <s v="Completed"/>
    <n v="5"/>
    <n v="24"/>
    <n v="4"/>
    <s v="Jan"/>
    <s v="Q1"/>
    <n v="2025"/>
  </r>
  <r>
    <s v="FN10059"/>
    <s v="CUST1059"/>
    <x v="2"/>
    <d v="2025-03-08T00:00:00"/>
    <s v="Residential"/>
    <x v="2"/>
    <x v="5"/>
    <s v="Instagram"/>
    <s v="P002"/>
    <s v="Aluminium Windows"/>
    <s v="Windows"/>
    <n v="1"/>
    <n v="22541"/>
    <n v="0"/>
    <n v="22541"/>
    <n v="0"/>
    <n v="22541"/>
    <n v="2025"/>
    <x v="9"/>
    <n v="3"/>
    <x v="2"/>
    <s v="Site Visit"/>
    <s v="Paid"/>
    <s v="Completed"/>
    <n v="1"/>
    <n v="9"/>
    <n v="4"/>
    <s v="Mar"/>
    <s v="Q1"/>
    <n v="2025"/>
  </r>
  <r>
    <s v="FN10063"/>
    <s v="CUST1063"/>
    <x v="5"/>
    <d v="2025-02-16T00:00:00"/>
    <s v="Residential"/>
    <x v="2"/>
    <x v="1"/>
    <s v="Instagram"/>
    <s v="P004"/>
    <s v="French Doors"/>
    <s v="Doors"/>
    <n v="1"/>
    <n v="44211"/>
    <n v="0.05"/>
    <n v="44211"/>
    <n v="2210.5500000000002"/>
    <n v="42000.45"/>
    <n v="2025"/>
    <x v="2"/>
    <n v="2"/>
    <x v="2"/>
    <s v="Negotiation"/>
    <s v="Paid"/>
    <s v="Completed"/>
    <n v="2"/>
    <n v="28"/>
    <n v="3"/>
    <s v="Feb"/>
    <s v="Q1"/>
    <n v="2025"/>
  </r>
  <r>
    <s v="FN10064"/>
    <s v="CUST1064"/>
    <x v="7"/>
    <d v="2025-05-18T00:00:00"/>
    <s v="Commercial"/>
    <x v="1"/>
    <x v="7"/>
    <s v="Walk-in"/>
    <s v="P007"/>
    <s v="uPVC Doors"/>
    <s v="Doors"/>
    <n v="4"/>
    <n v="28512"/>
    <n v="0.1"/>
    <n v="114048"/>
    <n v="11404.8"/>
    <n v="102643.2"/>
    <n v="2025"/>
    <x v="4"/>
    <n v="5"/>
    <x v="1"/>
    <s v="Converted"/>
    <s v="Paid"/>
    <s v="Completed"/>
    <n v="6"/>
    <n v="27"/>
    <n v="5"/>
    <s v="May"/>
    <s v="Q2"/>
    <n v="2025"/>
  </r>
  <r>
    <s v="FN10067"/>
    <s v="CUST1067"/>
    <x v="7"/>
    <d v="2025-04-14T00:00:00"/>
    <s v="Residential"/>
    <x v="3"/>
    <x v="7"/>
    <s v="Instagram"/>
    <s v="P007"/>
    <s v="uPVC Doors"/>
    <s v="Doors"/>
    <n v="6"/>
    <n v="33747"/>
    <n v="0.1"/>
    <n v="202482"/>
    <n v="20248.2"/>
    <n v="182233.8"/>
    <n v="2025"/>
    <x v="5"/>
    <n v="4"/>
    <x v="1"/>
    <s v="Negotiation"/>
    <s v="Paid"/>
    <s v="Completed"/>
    <n v="2"/>
    <n v="18"/>
    <n v="2"/>
    <s v="Apr"/>
    <s v="Q2"/>
    <n v="2025"/>
  </r>
  <r>
    <s v="FN10071"/>
    <s v="CUST1071"/>
    <x v="6"/>
    <d v="2025-10-10T00:00:00"/>
    <s v="Commercial"/>
    <x v="2"/>
    <x v="0"/>
    <s v="Instagram"/>
    <s v="P003"/>
    <s v="Sliding Doors"/>
    <s v="Doors"/>
    <n v="5"/>
    <n v="38734"/>
    <n v="0.2"/>
    <n v="193670"/>
    <n v="38734"/>
    <n v="154936"/>
    <n v="2025"/>
    <x v="0"/>
    <n v="10"/>
    <x v="0"/>
    <s v="Converted"/>
    <s v="Pending"/>
    <s v="Completed"/>
    <n v="5"/>
    <n v="12"/>
    <n v="4"/>
    <s v="Oct"/>
    <s v="Q4"/>
    <n v="2025"/>
  </r>
  <r>
    <s v="FN10076"/>
    <s v="CUST1076"/>
    <x v="5"/>
    <d v="2025-02-18T00:00:00"/>
    <s v="Commercial"/>
    <x v="2"/>
    <x v="2"/>
    <s v="Instagram"/>
    <s v="P004"/>
    <s v="French Doors"/>
    <s v="Doors"/>
    <n v="1"/>
    <n v="47891"/>
    <n v="0"/>
    <n v="47891"/>
    <n v="0"/>
    <n v="47891"/>
    <n v="2025"/>
    <x v="2"/>
    <n v="2"/>
    <x v="2"/>
    <s v="Lost"/>
    <s v="Paid"/>
    <s v="In Progress"/>
    <n v="5"/>
    <n v="27"/>
    <n v="4"/>
    <s v="Feb"/>
    <s v="Q1"/>
    <n v="2025"/>
  </r>
  <r>
    <s v="FN10079"/>
    <s v="CUST1079"/>
    <x v="5"/>
    <d v="2025-10-15T00:00:00"/>
    <s v="Residential"/>
    <x v="3"/>
    <x v="1"/>
    <s v="Instagram"/>
    <s v="P004"/>
    <s v="French Doors"/>
    <s v="Doors"/>
    <n v="2"/>
    <n v="46903"/>
    <n v="0.05"/>
    <n v="93806"/>
    <n v="4690.3"/>
    <n v="89115.7"/>
    <n v="2025"/>
    <x v="0"/>
    <n v="10"/>
    <x v="0"/>
    <s v="Site Visit"/>
    <s v="Paid"/>
    <s v="Completed"/>
    <n v="7"/>
    <n v="9"/>
    <n v="3"/>
    <s v="Oct"/>
    <s v="Q4"/>
    <n v="2025"/>
  </r>
  <r>
    <s v="FN10082"/>
    <s v="CUST1082"/>
    <x v="2"/>
    <d v="2025-07-14T00:00:00"/>
    <s v="Commercial"/>
    <x v="2"/>
    <x v="6"/>
    <s v="Google Ads"/>
    <s v="P002"/>
    <s v="Aluminium Windows"/>
    <s v="Windows"/>
    <n v="4"/>
    <n v="24368"/>
    <n v="0.05"/>
    <n v="97472"/>
    <n v="4873.6000000000004"/>
    <n v="92598.399999999994"/>
    <n v="2025"/>
    <x v="11"/>
    <n v="7"/>
    <x v="3"/>
    <s v="New"/>
    <s v="Paid"/>
    <s v="Delayed"/>
    <n v="4"/>
    <n v="28"/>
    <n v="2"/>
    <s v="Jul"/>
    <s v="Q3"/>
    <n v="2025"/>
  </r>
  <r>
    <s v="FN10083"/>
    <s v="CUST1083"/>
    <x v="1"/>
    <d v="2025-04-30T00:00:00"/>
    <s v="Residential"/>
    <x v="0"/>
    <x v="1"/>
    <s v="Website"/>
    <s v="P006"/>
    <s v="Bi-Fold Doors"/>
    <s v="Doors"/>
    <n v="3"/>
    <n v="61800"/>
    <n v="0.15"/>
    <n v="185400"/>
    <n v="27810"/>
    <n v="157590"/>
    <n v="2025"/>
    <x v="5"/>
    <n v="4"/>
    <x v="1"/>
    <s v="Converted"/>
    <s v="Paid"/>
    <s v="In Progress"/>
    <n v="7"/>
    <n v="13"/>
    <n v="3"/>
    <s v="Apr"/>
    <s v="Q2"/>
    <n v="2025"/>
  </r>
  <r>
    <s v="FN10085"/>
    <s v="CUST1085"/>
    <x v="3"/>
    <d v="2025-03-17T00:00:00"/>
    <s v="Residential"/>
    <x v="3"/>
    <x v="0"/>
    <s v="Facebook"/>
    <s v="P001"/>
    <s v="uPVC Windows"/>
    <s v="Windows"/>
    <n v="5"/>
    <n v="16249"/>
    <n v="0"/>
    <n v="81245"/>
    <n v="0"/>
    <n v="81245"/>
    <n v="2025"/>
    <x v="9"/>
    <n v="3"/>
    <x v="2"/>
    <s v="Negotiation"/>
    <s v="Paid"/>
    <s v="In Progress"/>
    <n v="7"/>
    <n v="14"/>
    <n v="5"/>
    <s v="Mar"/>
    <s v="Q1"/>
    <n v="2025"/>
  </r>
  <r>
    <s v="FN10087"/>
    <s v="CUST1087"/>
    <x v="5"/>
    <d v="2025-04-23T00:00:00"/>
    <s v="Commercial"/>
    <x v="3"/>
    <x v="7"/>
    <s v="Dealer"/>
    <s v="P004"/>
    <s v="French Doors"/>
    <s v="Doors"/>
    <n v="3"/>
    <n v="40919"/>
    <n v="0.1"/>
    <n v="122757"/>
    <n v="12275.7"/>
    <n v="110481.3"/>
    <n v="2025"/>
    <x v="5"/>
    <n v="4"/>
    <x v="1"/>
    <s v="Converted"/>
    <s v="Paid"/>
    <s v="Completed"/>
    <n v="7"/>
    <n v="24"/>
    <n v="3"/>
    <s v="Apr"/>
    <s v="Q2"/>
    <n v="2025"/>
  </r>
  <r>
    <s v="FN10088"/>
    <s v="CUST1088"/>
    <x v="5"/>
    <d v="2025-12-03T00:00:00"/>
    <s v="Residential"/>
    <x v="0"/>
    <x v="5"/>
    <s v="Walk-in"/>
    <s v="P004"/>
    <s v="French Doors"/>
    <s v="Doors"/>
    <n v="6"/>
    <n v="47829"/>
    <n v="0"/>
    <n v="286974"/>
    <n v="0"/>
    <n v="286974"/>
    <n v="2025"/>
    <x v="7"/>
    <n v="12"/>
    <x v="0"/>
    <s v="Converted"/>
    <s v="Paid"/>
    <s v="Completed"/>
    <n v="5"/>
    <n v="15"/>
    <n v="4"/>
    <s v="Dec"/>
    <s v="Q4"/>
    <n v="2025"/>
  </r>
  <r>
    <s v="FN10094"/>
    <s v="CUST1094"/>
    <x v="3"/>
    <d v="2025-07-29T00:00:00"/>
    <s v="Commercial"/>
    <x v="0"/>
    <x v="7"/>
    <s v="Facebook"/>
    <s v="P001"/>
    <s v="uPVC Windows"/>
    <s v="Windows"/>
    <n v="1"/>
    <n v="20186"/>
    <n v="0.1"/>
    <n v="20186"/>
    <n v="2018.6"/>
    <n v="18167.400000000001"/>
    <n v="2025"/>
    <x v="11"/>
    <n v="7"/>
    <x v="3"/>
    <s v="New"/>
    <s v="Paid"/>
    <s v="Scheduled"/>
    <n v="5"/>
    <n v="22"/>
    <n v="5"/>
    <s v="Jul"/>
    <s v="Q3"/>
    <n v="2025"/>
  </r>
  <r>
    <s v="FN10095"/>
    <s v="CUST1095"/>
    <x v="6"/>
    <d v="2025-02-08T00:00:00"/>
    <s v="Residential"/>
    <x v="2"/>
    <x v="4"/>
    <s v="Referral"/>
    <s v="P003"/>
    <s v="Sliding Doors"/>
    <s v="Doors"/>
    <n v="6"/>
    <n v="34568"/>
    <n v="0.15"/>
    <n v="207408"/>
    <n v="31111.200000000001"/>
    <n v="176296.8"/>
    <n v="2025"/>
    <x v="2"/>
    <n v="2"/>
    <x v="2"/>
    <s v="Negotiation"/>
    <s v="Pending"/>
    <s v="Delayed"/>
    <n v="2"/>
    <n v="29"/>
    <n v="4"/>
    <s v="Feb"/>
    <s v="Q1"/>
    <n v="2025"/>
  </r>
  <r>
    <s v="FN10096"/>
    <s v="CUST1096"/>
    <x v="5"/>
    <d v="2025-03-06T00:00:00"/>
    <s v="Commercial"/>
    <x v="2"/>
    <x v="5"/>
    <s v="Referral"/>
    <s v="P004"/>
    <s v="French Doors"/>
    <s v="Doors"/>
    <n v="6"/>
    <n v="37835"/>
    <n v="0.1"/>
    <n v="227010"/>
    <n v="22701"/>
    <n v="204309"/>
    <n v="2025"/>
    <x v="9"/>
    <n v="3"/>
    <x v="2"/>
    <s v="Site Visit"/>
    <s v="Paid"/>
    <s v="Completed"/>
    <n v="5"/>
    <n v="18"/>
    <n v="2"/>
    <s v="Mar"/>
    <s v="Q1"/>
    <n v="2025"/>
  </r>
  <r>
    <s v="FN10099"/>
    <s v="CUST1099"/>
    <x v="3"/>
    <d v="2025-08-29T00:00:00"/>
    <s v="Residential"/>
    <x v="2"/>
    <x v="7"/>
    <s v="Instagram"/>
    <s v="P001"/>
    <s v="uPVC Windows"/>
    <s v="Windows"/>
    <n v="2"/>
    <n v="19708"/>
    <n v="0.05"/>
    <n v="39416"/>
    <n v="1970.8"/>
    <n v="37445.199999999997"/>
    <n v="2025"/>
    <x v="8"/>
    <n v="8"/>
    <x v="3"/>
    <s v="New"/>
    <s v="Pending"/>
    <s v="Delayed"/>
    <n v="5"/>
    <n v="14"/>
    <n v="4"/>
    <s v="Aug"/>
    <s v="Q3"/>
    <n v="2025"/>
  </r>
  <r>
    <s v="FN10103"/>
    <s v="CUST1103"/>
    <x v="0"/>
    <d v="2025-02-09T00:00:00"/>
    <s v="Residential"/>
    <x v="2"/>
    <x v="3"/>
    <s v="Facebook"/>
    <s v="P008"/>
    <s v="Soundproof Windows"/>
    <s v="Windows"/>
    <n v="2"/>
    <n v="49725"/>
    <n v="0.15"/>
    <n v="99450"/>
    <n v="14917.5"/>
    <n v="84532.5"/>
    <n v="2025"/>
    <x v="2"/>
    <n v="2"/>
    <x v="2"/>
    <s v="New"/>
    <s v="Paid"/>
    <s v="Completed"/>
    <n v="1"/>
    <n v="17"/>
    <n v="5"/>
    <s v="Feb"/>
    <s v="Q1"/>
    <n v="2025"/>
  </r>
  <r>
    <s v="FN10104"/>
    <s v="CUST1104"/>
    <x v="3"/>
    <d v="2025-06-30T00:00:00"/>
    <s v="Commercial"/>
    <x v="3"/>
    <x v="4"/>
    <s v="Facebook"/>
    <s v="P001"/>
    <s v="uPVC Windows"/>
    <s v="Windows"/>
    <n v="2"/>
    <n v="16676"/>
    <n v="0.1"/>
    <n v="33352"/>
    <n v="3335.2"/>
    <n v="30016.799999999999"/>
    <n v="2025"/>
    <x v="1"/>
    <n v="6"/>
    <x v="1"/>
    <s v="Lost"/>
    <s v="Paid"/>
    <s v="Scheduled"/>
    <n v="2"/>
    <n v="14"/>
    <n v="5"/>
    <s v="Jun"/>
    <s v="Q2"/>
    <n v="2025"/>
  </r>
  <r>
    <s v="FN10106"/>
    <s v="CUST1106"/>
    <x v="5"/>
    <d v="2025-12-10T00:00:00"/>
    <s v="Commercial"/>
    <x v="3"/>
    <x v="5"/>
    <s v="Website"/>
    <s v="P004"/>
    <s v="French Doors"/>
    <s v="Doors"/>
    <n v="5"/>
    <n v="45988"/>
    <n v="0"/>
    <n v="229940"/>
    <n v="0"/>
    <n v="229940"/>
    <n v="2025"/>
    <x v="7"/>
    <n v="12"/>
    <x v="0"/>
    <s v="Lost"/>
    <s v="Paid"/>
    <s v="In Progress"/>
    <n v="6"/>
    <n v="9"/>
    <n v="2"/>
    <s v="Dec"/>
    <s v="Q4"/>
    <n v="2025"/>
  </r>
  <r>
    <s v="FN10109"/>
    <s v="CUST1109"/>
    <x v="2"/>
    <d v="2025-08-14T00:00:00"/>
    <s v="Residential"/>
    <x v="3"/>
    <x v="7"/>
    <s v="Instagram"/>
    <s v="P002"/>
    <s v="Aluminium Windows"/>
    <s v="Windows"/>
    <n v="5"/>
    <n v="24993"/>
    <n v="0"/>
    <n v="124965"/>
    <n v="0"/>
    <n v="124965"/>
    <n v="2025"/>
    <x v="8"/>
    <n v="8"/>
    <x v="3"/>
    <s v="New"/>
    <s v="Paid"/>
    <s v="Scheduled"/>
    <n v="7"/>
    <n v="18"/>
    <n v="3"/>
    <s v="Aug"/>
    <s v="Q3"/>
    <n v="2025"/>
  </r>
  <r>
    <s v="FN10112"/>
    <s v="CUST1112"/>
    <x v="3"/>
    <d v="2025-05-25T00:00:00"/>
    <s v="Commercial"/>
    <x v="0"/>
    <x v="2"/>
    <s v="Instagram"/>
    <s v="P001"/>
    <s v="uPVC Windows"/>
    <s v="Windows"/>
    <n v="5"/>
    <n v="19694"/>
    <n v="0.15"/>
    <n v="98470"/>
    <n v="14770.5"/>
    <n v="83699.5"/>
    <n v="2025"/>
    <x v="4"/>
    <n v="5"/>
    <x v="1"/>
    <s v="Negotiation"/>
    <s v="Paid"/>
    <s v="Completed"/>
    <n v="4"/>
    <n v="30"/>
    <n v="5"/>
    <s v="May"/>
    <s v="Q2"/>
    <n v="2025"/>
  </r>
  <r>
    <s v="FN10114"/>
    <s v="CUST1114"/>
    <x v="2"/>
    <d v="2025-12-10T00:00:00"/>
    <s v="Residential"/>
    <x v="0"/>
    <x v="0"/>
    <s v="Google Ads"/>
    <s v="P002"/>
    <s v="Aluminium Windows"/>
    <s v="Windows"/>
    <n v="3"/>
    <n v="25213"/>
    <n v="0"/>
    <n v="75639"/>
    <n v="0"/>
    <n v="75639"/>
    <n v="2025"/>
    <x v="7"/>
    <n v="12"/>
    <x v="0"/>
    <s v="Converted"/>
    <s v="Paid"/>
    <s v="Completed"/>
    <n v="5"/>
    <n v="29"/>
    <n v="5"/>
    <s v="Dec"/>
    <s v="Q4"/>
    <n v="2025"/>
  </r>
  <r>
    <s v="FN10115"/>
    <s v="CUST1115"/>
    <x v="1"/>
    <d v="2025-09-24T00:00:00"/>
    <s v="Commercial"/>
    <x v="1"/>
    <x v="0"/>
    <s v="Instagram"/>
    <s v="P006"/>
    <s v="Bi-Fold Doors"/>
    <s v="Doors"/>
    <n v="6"/>
    <n v="59800"/>
    <n v="0"/>
    <n v="358800"/>
    <n v="0"/>
    <n v="358800"/>
    <n v="2025"/>
    <x v="6"/>
    <n v="9"/>
    <x v="3"/>
    <s v="Negotiation"/>
    <s v="Paid"/>
    <s v="In Progress"/>
    <n v="2"/>
    <n v="12"/>
    <n v="1"/>
    <s v="Sep"/>
    <s v="Q3"/>
    <n v="2025"/>
  </r>
  <r>
    <s v="FN10116"/>
    <s v="CUST1116"/>
    <x v="5"/>
    <d v="2025-12-19T00:00:00"/>
    <s v="Commercial"/>
    <x v="1"/>
    <x v="4"/>
    <s v="Referral"/>
    <s v="P004"/>
    <s v="French Doors"/>
    <s v="Doors"/>
    <n v="2"/>
    <n v="43409"/>
    <n v="0.15"/>
    <n v="86818"/>
    <n v="13022.7"/>
    <n v="73795.3"/>
    <n v="2025"/>
    <x v="7"/>
    <n v="12"/>
    <x v="0"/>
    <s v="Converted"/>
    <s v="Paid"/>
    <s v="Delayed"/>
    <n v="2"/>
    <n v="18"/>
    <n v="5"/>
    <s v="Dec"/>
    <s v="Q4"/>
    <n v="2025"/>
  </r>
  <r>
    <s v="FN10118"/>
    <s v="CUST1118"/>
    <x v="2"/>
    <d v="2025-12-14T00:00:00"/>
    <s v="Residential"/>
    <x v="3"/>
    <x v="1"/>
    <s v="Referral"/>
    <s v="P002"/>
    <s v="Aluminium Windows"/>
    <s v="Windows"/>
    <n v="6"/>
    <n v="24108"/>
    <n v="0.1"/>
    <n v="144648"/>
    <n v="14464.8"/>
    <n v="130183.2"/>
    <n v="2025"/>
    <x v="7"/>
    <n v="12"/>
    <x v="0"/>
    <s v="Negotiation"/>
    <s v="Paid"/>
    <s v="Scheduled"/>
    <n v="7"/>
    <n v="7"/>
    <n v="2"/>
    <s v="Dec"/>
    <s v="Q4"/>
    <n v="2025"/>
  </r>
  <r>
    <s v="FN10120"/>
    <s v="CUST1120"/>
    <x v="7"/>
    <d v="2025-11-05T00:00:00"/>
    <s v="Residential"/>
    <x v="2"/>
    <x v="4"/>
    <s v="Website"/>
    <s v="P007"/>
    <s v="uPVC Doors"/>
    <s v="Doors"/>
    <n v="3"/>
    <n v="28212"/>
    <n v="0"/>
    <n v="84636"/>
    <n v="0"/>
    <n v="84636"/>
    <n v="2025"/>
    <x v="3"/>
    <n v="11"/>
    <x v="0"/>
    <s v="Negotiation"/>
    <s v="Paid"/>
    <s v="Completed"/>
    <n v="5"/>
    <n v="26"/>
    <n v="1"/>
    <s v="Nov"/>
    <s v="Q4"/>
    <n v="2025"/>
  </r>
  <r>
    <s v="FN10122"/>
    <s v="CUST1122"/>
    <x v="3"/>
    <d v="2025-09-07T00:00:00"/>
    <s v="Residential"/>
    <x v="0"/>
    <x v="2"/>
    <s v="Dealer"/>
    <s v="P001"/>
    <s v="uPVC Windows"/>
    <s v="Windows"/>
    <n v="5"/>
    <n v="17979"/>
    <n v="0.1"/>
    <n v="89895"/>
    <n v="8989.5"/>
    <n v="80905.5"/>
    <n v="2025"/>
    <x v="6"/>
    <n v="9"/>
    <x v="3"/>
    <s v="Negotiation"/>
    <s v="Pending"/>
    <s v="Completed"/>
    <n v="5"/>
    <n v="16"/>
    <n v="4"/>
    <s v="Sep"/>
    <s v="Q3"/>
    <n v="2025"/>
  </r>
  <r>
    <s v="FN10127"/>
    <s v="CUST1127"/>
    <x v="5"/>
    <d v="2025-06-14T00:00:00"/>
    <s v="Commercial"/>
    <x v="3"/>
    <x v="7"/>
    <s v="Dealer"/>
    <s v="P004"/>
    <s v="French Doors"/>
    <s v="Doors"/>
    <n v="1"/>
    <n v="46663"/>
    <n v="0.15"/>
    <n v="46663"/>
    <n v="6999.45"/>
    <n v="39663.550000000003"/>
    <n v="2025"/>
    <x v="1"/>
    <n v="6"/>
    <x v="1"/>
    <s v="Converted"/>
    <s v="Paid"/>
    <s v="Completed"/>
    <n v="2"/>
    <n v="13"/>
    <n v="4"/>
    <s v="Jun"/>
    <s v="Q2"/>
    <n v="2025"/>
  </r>
  <r>
    <s v="FN10129"/>
    <s v="CUST1129"/>
    <x v="6"/>
    <d v="2025-10-26T00:00:00"/>
    <s v="Residential"/>
    <x v="3"/>
    <x v="7"/>
    <s v="Instagram"/>
    <s v="P003"/>
    <s v="Sliding Doors"/>
    <s v="Doors"/>
    <n v="6"/>
    <n v="39828"/>
    <n v="0.1"/>
    <n v="238968"/>
    <n v="23896.799999999999"/>
    <n v="215071.2"/>
    <n v="2025"/>
    <x v="0"/>
    <n v="10"/>
    <x v="0"/>
    <s v="Negotiation"/>
    <s v="Paid"/>
    <s v="Completed"/>
    <n v="7"/>
    <n v="17"/>
    <n v="3"/>
    <s v="Oct"/>
    <s v="Q4"/>
    <n v="2025"/>
  </r>
  <r>
    <s v="FN10130"/>
    <s v="CUST1130"/>
    <x v="2"/>
    <d v="2025-08-22T00:00:00"/>
    <s v="Residential"/>
    <x v="3"/>
    <x v="3"/>
    <s v="Walk-in"/>
    <s v="P002"/>
    <s v="Aluminium Windows"/>
    <s v="Windows"/>
    <n v="4"/>
    <n v="23503"/>
    <n v="0.2"/>
    <n v="94012"/>
    <n v="18802.400000000001"/>
    <n v="75209.600000000006"/>
    <n v="2025"/>
    <x v="8"/>
    <n v="8"/>
    <x v="3"/>
    <s v="Converted"/>
    <s v="Pending"/>
    <s v="Completed"/>
    <n v="2"/>
    <n v="5"/>
    <n v="5"/>
    <s v="Aug"/>
    <s v="Q3"/>
    <n v="2025"/>
  </r>
  <r>
    <s v="FN10131"/>
    <s v="CUST1131"/>
    <x v="2"/>
    <d v="2025-04-24T00:00:00"/>
    <s v="Commercial"/>
    <x v="1"/>
    <x v="2"/>
    <s v="Facebook"/>
    <s v="P002"/>
    <s v="Aluminium Windows"/>
    <s v="Windows"/>
    <n v="2"/>
    <n v="23198"/>
    <n v="0.15"/>
    <n v="46396"/>
    <n v="6959.4"/>
    <n v="39436.6"/>
    <n v="2025"/>
    <x v="5"/>
    <n v="4"/>
    <x v="1"/>
    <s v="Lost"/>
    <s v="Partially Paid"/>
    <s v="In Progress"/>
    <n v="3"/>
    <n v="20"/>
    <n v="5"/>
    <s v="Apr"/>
    <s v="Q2"/>
    <n v="2025"/>
  </r>
  <r>
    <s v="FN10134"/>
    <s v="CUST1134"/>
    <x v="1"/>
    <d v="2025-03-30T00:00:00"/>
    <s v="Residential"/>
    <x v="3"/>
    <x v="4"/>
    <s v="Facebook"/>
    <s v="P006"/>
    <s v="Bi-Fold Doors"/>
    <s v="Doors"/>
    <n v="5"/>
    <n v="53963"/>
    <n v="0.05"/>
    <n v="269815"/>
    <n v="13490.75"/>
    <n v="256324.25"/>
    <n v="2025"/>
    <x v="9"/>
    <n v="3"/>
    <x v="2"/>
    <s v="Converted"/>
    <s v="Paid"/>
    <s v="Completed"/>
    <n v="1"/>
    <n v="7"/>
    <n v="3"/>
    <s v="Mar"/>
    <s v="Q1"/>
    <n v="2025"/>
  </r>
  <r>
    <s v="FN10135"/>
    <s v="CUST1135"/>
    <x v="2"/>
    <d v="2025-09-24T00:00:00"/>
    <s v="Commercial"/>
    <x v="2"/>
    <x v="6"/>
    <s v="Facebook"/>
    <s v="P002"/>
    <s v="Aluminium Windows"/>
    <s v="Windows"/>
    <n v="3"/>
    <n v="20726"/>
    <n v="0.1"/>
    <n v="62178"/>
    <n v="6217.8"/>
    <n v="55960.2"/>
    <n v="2025"/>
    <x v="6"/>
    <n v="9"/>
    <x v="3"/>
    <s v="Negotiation"/>
    <s v="Pending"/>
    <s v="Scheduled"/>
    <n v="4"/>
    <n v="25"/>
    <n v="5"/>
    <s v="Sep"/>
    <s v="Q3"/>
    <n v="2025"/>
  </r>
  <r>
    <s v="FN10138"/>
    <s v="CUST1138"/>
    <x v="5"/>
    <d v="2025-01-27T00:00:00"/>
    <s v="Commercial"/>
    <x v="0"/>
    <x v="2"/>
    <s v="Dealer"/>
    <s v="P004"/>
    <s v="French Doors"/>
    <s v="Doors"/>
    <n v="5"/>
    <n v="46231"/>
    <n v="0.1"/>
    <n v="231155"/>
    <n v="23115.5"/>
    <n v="208039.5"/>
    <n v="2025"/>
    <x v="10"/>
    <n v="1"/>
    <x v="2"/>
    <s v="Site Visit"/>
    <s v="Paid"/>
    <s v="Completed"/>
    <n v="1"/>
    <n v="15"/>
    <n v="3"/>
    <s v="Jan"/>
    <s v="Q1"/>
    <n v="2025"/>
  </r>
  <r>
    <s v="FN10139"/>
    <s v="CUST1139"/>
    <x v="5"/>
    <d v="2025-03-15T00:00:00"/>
    <s v="Residential"/>
    <x v="0"/>
    <x v="4"/>
    <s v="Google Ads"/>
    <s v="P004"/>
    <s v="French Doors"/>
    <s v="Doors"/>
    <n v="5"/>
    <n v="39738"/>
    <n v="0.05"/>
    <n v="198690"/>
    <n v="9934.5"/>
    <n v="188755.5"/>
    <n v="2025"/>
    <x v="9"/>
    <n v="3"/>
    <x v="2"/>
    <s v="New"/>
    <s v="Paid"/>
    <s v="Completed"/>
    <n v="6"/>
    <n v="5"/>
    <n v="4"/>
    <s v="Mar"/>
    <s v="Q1"/>
    <n v="2025"/>
  </r>
  <r>
    <s v="FN10140"/>
    <s v="CUST1140"/>
    <x v="4"/>
    <d v="2025-12-28T00:00:00"/>
    <s v="Residential"/>
    <x v="2"/>
    <x v="2"/>
    <s v="Website"/>
    <s v="P005"/>
    <s v="Casement Windows"/>
    <s v="Windows"/>
    <n v="3"/>
    <n v="23416"/>
    <n v="0.1"/>
    <n v="70248"/>
    <n v="7024.8"/>
    <n v="63223.199999999997"/>
    <n v="2025"/>
    <x v="7"/>
    <n v="12"/>
    <x v="0"/>
    <s v="Site Visit"/>
    <s v="Partially Paid"/>
    <s v="Completed"/>
    <n v="1"/>
    <n v="14"/>
    <n v="5"/>
    <s v="Dec"/>
    <s v="Q4"/>
    <n v="2025"/>
  </r>
  <r>
    <s v="FN10143"/>
    <s v="CUST1143"/>
    <x v="4"/>
    <d v="2025-09-11T00:00:00"/>
    <s v="Residential"/>
    <x v="0"/>
    <x v="1"/>
    <s v="Google Ads"/>
    <s v="P005"/>
    <s v="Casement Windows"/>
    <s v="Windows"/>
    <n v="1"/>
    <n v="29820"/>
    <n v="0"/>
    <n v="29820"/>
    <n v="0"/>
    <n v="29820"/>
    <n v="2025"/>
    <x v="6"/>
    <n v="9"/>
    <x v="3"/>
    <s v="Converted"/>
    <s v="Partially Paid"/>
    <s v="In Progress"/>
    <n v="7"/>
    <n v="28"/>
    <n v="3"/>
    <s v="Sep"/>
    <s v="Q3"/>
    <n v="2025"/>
  </r>
  <r>
    <s v="FN10144"/>
    <s v="CUST1144"/>
    <x v="6"/>
    <d v="2025-03-09T00:00:00"/>
    <s v="Residential"/>
    <x v="2"/>
    <x v="2"/>
    <s v="Walk-in"/>
    <s v="P003"/>
    <s v="Sliding Doors"/>
    <s v="Doors"/>
    <n v="2"/>
    <n v="34450"/>
    <n v="0.15"/>
    <n v="68900"/>
    <n v="10335"/>
    <n v="58565"/>
    <n v="2025"/>
    <x v="9"/>
    <n v="3"/>
    <x v="2"/>
    <s v="New"/>
    <s v="Paid"/>
    <s v="Completed"/>
    <n v="3"/>
    <n v="10"/>
    <n v="4"/>
    <s v="Mar"/>
    <s v="Q1"/>
    <n v="2025"/>
  </r>
  <r>
    <s v="FN10146"/>
    <s v="CUST1146"/>
    <x v="1"/>
    <d v="2025-05-10T00:00:00"/>
    <s v="Commercial"/>
    <x v="3"/>
    <x v="0"/>
    <s v="Referral"/>
    <s v="P006"/>
    <s v="Bi-Fold Doors"/>
    <s v="Doors"/>
    <n v="4"/>
    <n v="58600"/>
    <n v="0.1"/>
    <n v="234400"/>
    <n v="23440"/>
    <n v="210960"/>
    <n v="2025"/>
    <x v="4"/>
    <n v="5"/>
    <x v="1"/>
    <s v="Converted"/>
    <s v="Paid"/>
    <s v="Delayed"/>
    <n v="5"/>
    <n v="19"/>
    <n v="3"/>
    <s v="May"/>
    <s v="Q2"/>
    <n v="2025"/>
  </r>
  <r>
    <s v="FN10147"/>
    <s v="CUST1147"/>
    <x v="0"/>
    <d v="2025-04-16T00:00:00"/>
    <s v="Commercial"/>
    <x v="1"/>
    <x v="3"/>
    <s v="Referral"/>
    <s v="P008"/>
    <s v="Soundproof Windows"/>
    <s v="Windows"/>
    <n v="6"/>
    <n v="48272"/>
    <n v="0.15"/>
    <n v="289632"/>
    <n v="43444.800000000003"/>
    <n v="246187.2"/>
    <n v="2025"/>
    <x v="5"/>
    <n v="4"/>
    <x v="1"/>
    <s v="Lost"/>
    <s v="Paid"/>
    <s v="Completed"/>
    <n v="7"/>
    <n v="23"/>
    <n v="3"/>
    <s v="Apr"/>
    <s v="Q2"/>
    <n v="2025"/>
  </r>
  <r>
    <s v="FN10148"/>
    <s v="CUST1148"/>
    <x v="4"/>
    <d v="2025-12-26T00:00:00"/>
    <s v="Commercial"/>
    <x v="2"/>
    <x v="0"/>
    <s v="Google Ads"/>
    <s v="P005"/>
    <s v="Casement Windows"/>
    <s v="Windows"/>
    <n v="4"/>
    <n v="24983"/>
    <n v="0.1"/>
    <n v="99932"/>
    <n v="9993.2000000000007"/>
    <n v="89938.8"/>
    <n v="2025"/>
    <x v="7"/>
    <n v="12"/>
    <x v="0"/>
    <s v="Site Visit"/>
    <s v="Pending"/>
    <s v="In Progress"/>
    <n v="4"/>
    <n v="10"/>
    <n v="3"/>
    <s v="Dec"/>
    <s v="Q4"/>
    <n v="2025"/>
  </r>
  <r>
    <s v="FN10149"/>
    <s v="CUST1149"/>
    <x v="4"/>
    <d v="2025-05-22T00:00:00"/>
    <s v="Commercial"/>
    <x v="1"/>
    <x v="4"/>
    <s v="Google Ads"/>
    <s v="P005"/>
    <s v="Casement Windows"/>
    <s v="Windows"/>
    <n v="4"/>
    <n v="25370"/>
    <n v="0.05"/>
    <n v="101480"/>
    <n v="5074"/>
    <n v="96406"/>
    <n v="2025"/>
    <x v="4"/>
    <n v="5"/>
    <x v="1"/>
    <s v="Lost"/>
    <s v="Paid"/>
    <s v="Completed"/>
    <n v="4"/>
    <n v="27"/>
    <n v="5"/>
    <s v="May"/>
    <s v="Q2"/>
    <n v="2025"/>
  </r>
  <r>
    <s v="FN10151"/>
    <s v="CUST1151"/>
    <x v="0"/>
    <d v="2025-06-07T00:00:00"/>
    <s v="Commercial"/>
    <x v="2"/>
    <x v="6"/>
    <s v="Instagram"/>
    <s v="P008"/>
    <s v="Soundproof Windows"/>
    <s v="Windows"/>
    <n v="6"/>
    <n v="52871"/>
    <n v="0.15"/>
    <n v="317226"/>
    <n v="47583.9"/>
    <n v="269642.09999999998"/>
    <n v="2025"/>
    <x v="1"/>
    <n v="6"/>
    <x v="1"/>
    <s v="Converted"/>
    <s v="Paid"/>
    <s v="In Progress"/>
    <n v="2"/>
    <n v="18"/>
    <n v="5"/>
    <s v="Jun"/>
    <s v="Q2"/>
    <n v="2025"/>
  </r>
  <r>
    <s v="FN10155"/>
    <s v="CUST1155"/>
    <x v="2"/>
    <d v="2025-09-24T00:00:00"/>
    <s v="Residential"/>
    <x v="3"/>
    <x v="1"/>
    <s v="Website"/>
    <s v="P002"/>
    <s v="Aluminium Windows"/>
    <s v="Windows"/>
    <n v="2"/>
    <n v="20117"/>
    <n v="0.1"/>
    <n v="40234"/>
    <n v="4023.4"/>
    <n v="36210.6"/>
    <n v="2025"/>
    <x v="6"/>
    <n v="9"/>
    <x v="3"/>
    <s v="Converted"/>
    <s v="Paid"/>
    <s v="Completed"/>
    <n v="3"/>
    <n v="11"/>
    <n v="5"/>
    <s v="Sep"/>
    <s v="Q3"/>
    <n v="2025"/>
  </r>
  <r>
    <s v="FN10156"/>
    <s v="CUST1156"/>
    <x v="5"/>
    <d v="2025-04-07T00:00:00"/>
    <s v="Residential"/>
    <x v="3"/>
    <x v="2"/>
    <s v="Referral"/>
    <s v="P004"/>
    <s v="French Doors"/>
    <s v="Doors"/>
    <n v="4"/>
    <n v="44448"/>
    <n v="0.05"/>
    <n v="177792"/>
    <n v="8889.6"/>
    <n v="168902.39999999999"/>
    <n v="2025"/>
    <x v="5"/>
    <n v="4"/>
    <x v="1"/>
    <s v="Converted"/>
    <s v="Partially Paid"/>
    <s v="Scheduled"/>
    <n v="2"/>
    <n v="9"/>
    <n v="5"/>
    <s v="Apr"/>
    <s v="Q2"/>
    <n v="2025"/>
  </r>
  <r>
    <s v="FN10157"/>
    <s v="CUST1157"/>
    <x v="1"/>
    <d v="2025-09-13T00:00:00"/>
    <s v="Commercial"/>
    <x v="2"/>
    <x v="7"/>
    <s v="Walk-in"/>
    <s v="P006"/>
    <s v="Bi-Fold Doors"/>
    <s v="Doors"/>
    <n v="5"/>
    <n v="54370"/>
    <n v="0.1"/>
    <n v="271850"/>
    <n v="27185"/>
    <n v="244665"/>
    <n v="2025"/>
    <x v="6"/>
    <n v="9"/>
    <x v="3"/>
    <s v="Converted"/>
    <s v="Pending"/>
    <s v="Completed"/>
    <n v="6"/>
    <n v="25"/>
    <n v="1"/>
    <s v="Sep"/>
    <s v="Q3"/>
    <n v="2025"/>
  </r>
  <r>
    <s v="FN10158"/>
    <s v="CUST1158"/>
    <x v="7"/>
    <d v="2025-05-29T00:00:00"/>
    <s v="Residential"/>
    <x v="1"/>
    <x v="4"/>
    <s v="Walk-in"/>
    <s v="P007"/>
    <s v="uPVC Doors"/>
    <s v="Doors"/>
    <n v="2"/>
    <n v="32107"/>
    <n v="0.05"/>
    <n v="64214"/>
    <n v="3210.7"/>
    <n v="61003.3"/>
    <n v="2025"/>
    <x v="4"/>
    <n v="5"/>
    <x v="1"/>
    <s v="New"/>
    <s v="Partially Paid"/>
    <s v="Completed"/>
    <n v="5"/>
    <n v="17"/>
    <n v="2"/>
    <s v="May"/>
    <s v="Q2"/>
    <n v="2025"/>
  </r>
  <r>
    <s v="FN10160"/>
    <s v="CUST1160"/>
    <x v="4"/>
    <d v="2025-02-11T00:00:00"/>
    <s v="Commercial"/>
    <x v="1"/>
    <x v="3"/>
    <s v="Website"/>
    <s v="P005"/>
    <s v="Casement Windows"/>
    <s v="Windows"/>
    <n v="5"/>
    <n v="29615"/>
    <n v="0"/>
    <n v="148075"/>
    <n v="0"/>
    <n v="148075"/>
    <n v="2025"/>
    <x v="2"/>
    <n v="2"/>
    <x v="2"/>
    <s v="Lost"/>
    <s v="Pending"/>
    <s v="Completed"/>
    <n v="1"/>
    <n v="14"/>
    <n v="5"/>
    <s v="Feb"/>
    <s v="Q1"/>
    <n v="2025"/>
  </r>
  <r>
    <s v="FN10164"/>
    <s v="CUST1164"/>
    <x v="0"/>
    <d v="2025-08-08T00:00:00"/>
    <s v="Residential"/>
    <x v="1"/>
    <x v="5"/>
    <s v="Instagram"/>
    <s v="P008"/>
    <s v="Soundproof Windows"/>
    <s v="Windows"/>
    <n v="1"/>
    <n v="46745"/>
    <n v="0.15"/>
    <n v="46745"/>
    <n v="7011.75"/>
    <n v="39733.25"/>
    <n v="2025"/>
    <x v="8"/>
    <n v="8"/>
    <x v="3"/>
    <s v="Converted"/>
    <s v="Paid"/>
    <s v="In Progress"/>
    <n v="6"/>
    <n v="13"/>
    <n v="5"/>
    <s v="Aug"/>
    <s v="Q3"/>
    <n v="2025"/>
  </r>
  <r>
    <s v="FN10166"/>
    <s v="CUST1166"/>
    <x v="7"/>
    <d v="2025-09-30T00:00:00"/>
    <s v="Residential"/>
    <x v="2"/>
    <x v="2"/>
    <s v="Google Ads"/>
    <s v="P007"/>
    <s v="uPVC Doors"/>
    <s v="Doors"/>
    <n v="2"/>
    <n v="28684"/>
    <n v="0.05"/>
    <n v="57368"/>
    <n v="2868.4"/>
    <n v="54499.6"/>
    <n v="2025"/>
    <x v="6"/>
    <n v="9"/>
    <x v="3"/>
    <s v="Negotiation"/>
    <s v="Pending"/>
    <s v="Completed"/>
    <n v="5"/>
    <n v="16"/>
    <n v="3"/>
    <s v="Sep"/>
    <s v="Q3"/>
    <n v="2025"/>
  </r>
  <r>
    <s v="FN10167"/>
    <s v="CUST1167"/>
    <x v="1"/>
    <d v="2025-04-23T00:00:00"/>
    <s v="Residential"/>
    <x v="3"/>
    <x v="6"/>
    <s v="Referral"/>
    <s v="P006"/>
    <s v="Bi-Fold Doors"/>
    <s v="Doors"/>
    <n v="5"/>
    <n v="53431"/>
    <n v="0.15"/>
    <n v="267155"/>
    <n v="40073.25"/>
    <n v="227081.75"/>
    <n v="2025"/>
    <x v="5"/>
    <n v="4"/>
    <x v="1"/>
    <s v="New"/>
    <s v="Paid"/>
    <s v="Scheduled"/>
    <n v="5"/>
    <n v="12"/>
    <n v="5"/>
    <s v="Apr"/>
    <s v="Q2"/>
    <n v="2025"/>
  </r>
  <r>
    <s v="FN10171"/>
    <s v="CUST1171"/>
    <x v="2"/>
    <d v="2025-10-29T00:00:00"/>
    <s v="Residential"/>
    <x v="1"/>
    <x v="2"/>
    <s v="Referral"/>
    <s v="P002"/>
    <s v="Aluminium Windows"/>
    <s v="Windows"/>
    <n v="3"/>
    <n v="20834"/>
    <n v="0.05"/>
    <n v="62502"/>
    <n v="3125.1"/>
    <n v="59376.9"/>
    <n v="2025"/>
    <x v="0"/>
    <n v="10"/>
    <x v="0"/>
    <s v="Converted"/>
    <s v="Partially Paid"/>
    <s v="Completed"/>
    <n v="1"/>
    <n v="18"/>
    <n v="3"/>
    <s v="Oct"/>
    <s v="Q4"/>
    <n v="2025"/>
  </r>
  <r>
    <s v="FN10173"/>
    <s v="CUST1173"/>
    <x v="2"/>
    <d v="2025-10-20T00:00:00"/>
    <s v="Residential"/>
    <x v="0"/>
    <x v="0"/>
    <s v="Dealer"/>
    <s v="P002"/>
    <s v="Aluminium Windows"/>
    <s v="Windows"/>
    <n v="6"/>
    <n v="22069"/>
    <n v="0.1"/>
    <n v="132414"/>
    <n v="13241.4"/>
    <n v="119172.6"/>
    <n v="2025"/>
    <x v="0"/>
    <n v="10"/>
    <x v="0"/>
    <s v="Converted"/>
    <s v="Partially Paid"/>
    <s v="Completed"/>
    <n v="7"/>
    <n v="11"/>
    <n v="4"/>
    <s v="Oct"/>
    <s v="Q4"/>
    <n v="2025"/>
  </r>
  <r>
    <s v="FN10175"/>
    <s v="CUST1175"/>
    <x v="6"/>
    <d v="2025-06-01T00:00:00"/>
    <s v="Residential"/>
    <x v="3"/>
    <x v="2"/>
    <s v="Facebook"/>
    <s v="P003"/>
    <s v="Sliding Doors"/>
    <s v="Doors"/>
    <n v="5"/>
    <n v="38026"/>
    <n v="0.2"/>
    <n v="190130"/>
    <n v="38026"/>
    <n v="152104"/>
    <n v="2025"/>
    <x v="1"/>
    <n v="6"/>
    <x v="1"/>
    <s v="Converted"/>
    <s v="Paid"/>
    <s v="Completed"/>
    <n v="7"/>
    <n v="5"/>
    <n v="2"/>
    <s v="Jun"/>
    <s v="Q2"/>
    <n v="2025"/>
  </r>
  <r>
    <s v="FN10177"/>
    <s v="CUST1177"/>
    <x v="1"/>
    <d v="2025-05-04T00:00:00"/>
    <s v="Residential"/>
    <x v="1"/>
    <x v="2"/>
    <s v="Walk-in"/>
    <s v="P006"/>
    <s v="Bi-Fold Doors"/>
    <s v="Doors"/>
    <n v="3"/>
    <n v="59674"/>
    <n v="0.2"/>
    <n v="179022"/>
    <n v="35804.400000000001"/>
    <n v="143217.60000000001"/>
    <n v="2025"/>
    <x v="4"/>
    <n v="5"/>
    <x v="1"/>
    <s v="Lost"/>
    <s v="Paid"/>
    <s v="In Progress"/>
    <n v="6"/>
    <n v="26"/>
    <n v="3"/>
    <s v="May"/>
    <s v="Q2"/>
    <n v="2025"/>
  </r>
  <r>
    <s v="FN10178"/>
    <s v="CUST1178"/>
    <x v="3"/>
    <d v="2025-12-31T00:00:00"/>
    <s v="Commercial"/>
    <x v="0"/>
    <x v="1"/>
    <s v="Walk-in"/>
    <s v="P001"/>
    <s v="uPVC Windows"/>
    <s v="Windows"/>
    <n v="3"/>
    <n v="20433"/>
    <n v="0.05"/>
    <n v="61299"/>
    <n v="3064.95"/>
    <n v="58234.05"/>
    <n v="2025"/>
    <x v="7"/>
    <n v="12"/>
    <x v="0"/>
    <s v="New"/>
    <s v="Paid"/>
    <s v="Scheduled"/>
    <n v="2"/>
    <n v="9"/>
    <n v="5"/>
    <s v="Dec"/>
    <s v="Q4"/>
    <n v="2025"/>
  </r>
  <r>
    <s v="FN10180"/>
    <s v="CUST1180"/>
    <x v="0"/>
    <d v="2025-02-05T00:00:00"/>
    <s v="Commercial"/>
    <x v="2"/>
    <x v="2"/>
    <s v="Instagram"/>
    <s v="P008"/>
    <s v="Soundproof Windows"/>
    <s v="Windows"/>
    <n v="5"/>
    <n v="44027"/>
    <n v="0"/>
    <n v="220135"/>
    <n v="0"/>
    <n v="220135"/>
    <n v="2025"/>
    <x v="2"/>
    <n v="2"/>
    <x v="2"/>
    <s v="Converted"/>
    <s v="Pending"/>
    <s v="Completed"/>
    <n v="6"/>
    <n v="14"/>
    <n v="5"/>
    <s v="Feb"/>
    <s v="Q1"/>
    <n v="2025"/>
  </r>
  <r>
    <s v="FN10181"/>
    <s v="CUST1181"/>
    <x v="1"/>
    <d v="2025-02-13T00:00:00"/>
    <s v="Commercial"/>
    <x v="0"/>
    <x v="5"/>
    <s v="Facebook"/>
    <s v="P006"/>
    <s v="Bi-Fold Doors"/>
    <s v="Doors"/>
    <n v="1"/>
    <n v="56204"/>
    <n v="0"/>
    <n v="56204"/>
    <n v="0"/>
    <n v="56204"/>
    <n v="2025"/>
    <x v="2"/>
    <n v="2"/>
    <x v="2"/>
    <s v="Converted"/>
    <s v="Paid"/>
    <s v="Completed"/>
    <n v="7"/>
    <n v="10"/>
    <n v="5"/>
    <s v="Feb"/>
    <s v="Q1"/>
    <n v="2025"/>
  </r>
  <r>
    <s v="FN10183"/>
    <s v="CUST1183"/>
    <x v="6"/>
    <d v="2025-03-28T00:00:00"/>
    <s v="Residential"/>
    <x v="1"/>
    <x v="4"/>
    <s v="Referral"/>
    <s v="P003"/>
    <s v="Sliding Doors"/>
    <s v="Doors"/>
    <n v="2"/>
    <n v="33172"/>
    <n v="0.05"/>
    <n v="66344"/>
    <n v="3317.2"/>
    <n v="63026.8"/>
    <n v="2025"/>
    <x v="9"/>
    <n v="3"/>
    <x v="2"/>
    <s v="Converted"/>
    <s v="Paid"/>
    <s v="Completed"/>
    <n v="4"/>
    <n v="14"/>
    <n v="2"/>
    <s v="Mar"/>
    <s v="Q1"/>
    <n v="2025"/>
  </r>
  <r>
    <s v="FN10184"/>
    <s v="CUST1184"/>
    <x v="1"/>
    <d v="2025-10-16T00:00:00"/>
    <s v="Commercial"/>
    <x v="0"/>
    <x v="1"/>
    <s v="Website"/>
    <s v="P006"/>
    <s v="Bi-Fold Doors"/>
    <s v="Doors"/>
    <n v="1"/>
    <n v="62982"/>
    <n v="0.05"/>
    <n v="62982"/>
    <n v="3149.1"/>
    <n v="59832.9"/>
    <n v="2025"/>
    <x v="0"/>
    <n v="10"/>
    <x v="0"/>
    <s v="Site Visit"/>
    <s v="Paid"/>
    <s v="In Progress"/>
    <n v="6"/>
    <n v="10"/>
    <n v="5"/>
    <s v="Oct"/>
    <s v="Q4"/>
    <n v="2025"/>
  </r>
  <r>
    <s v="FN10185"/>
    <s v="CUST1185"/>
    <x v="2"/>
    <d v="2025-12-07T00:00:00"/>
    <s v="Commercial"/>
    <x v="0"/>
    <x v="5"/>
    <s v="Facebook"/>
    <s v="P002"/>
    <s v="Aluminium Windows"/>
    <s v="Windows"/>
    <n v="5"/>
    <n v="25001"/>
    <n v="0.15"/>
    <n v="125005"/>
    <n v="18750.75"/>
    <n v="106254.25"/>
    <n v="2025"/>
    <x v="7"/>
    <n v="12"/>
    <x v="0"/>
    <s v="Negotiation"/>
    <s v="Paid"/>
    <s v="Completed"/>
    <n v="6"/>
    <n v="14"/>
    <n v="5"/>
    <s v="Dec"/>
    <s v="Q4"/>
    <n v="2025"/>
  </r>
  <r>
    <s v="FN10186"/>
    <s v="CUST1186"/>
    <x v="6"/>
    <d v="2025-11-15T00:00:00"/>
    <s v="Commercial"/>
    <x v="0"/>
    <x v="7"/>
    <s v="Referral"/>
    <s v="P003"/>
    <s v="Sliding Doors"/>
    <s v="Doors"/>
    <n v="1"/>
    <n v="33261"/>
    <n v="0.05"/>
    <n v="33261"/>
    <n v="1663.05"/>
    <n v="31597.95"/>
    <n v="2025"/>
    <x v="3"/>
    <n v="11"/>
    <x v="0"/>
    <s v="Site Visit"/>
    <s v="Paid"/>
    <s v="Completed"/>
    <n v="5"/>
    <n v="19"/>
    <n v="5"/>
    <s v="Nov"/>
    <s v="Q4"/>
    <n v="2025"/>
  </r>
  <r>
    <s v="FN10187"/>
    <s v="CUST1187"/>
    <x v="5"/>
    <d v="2025-09-27T00:00:00"/>
    <s v="Commercial"/>
    <x v="0"/>
    <x v="6"/>
    <s v="Instagram"/>
    <s v="P004"/>
    <s v="French Doors"/>
    <s v="Doors"/>
    <n v="3"/>
    <n v="47739"/>
    <n v="0.1"/>
    <n v="143217"/>
    <n v="14321.7"/>
    <n v="128895.3"/>
    <n v="2025"/>
    <x v="6"/>
    <n v="9"/>
    <x v="3"/>
    <s v="Negotiation"/>
    <s v="Paid"/>
    <s v="Completed"/>
    <n v="4"/>
    <n v="5"/>
    <n v="4"/>
    <s v="Sep"/>
    <s v="Q3"/>
    <n v="2025"/>
  </r>
  <r>
    <s v="FN10189"/>
    <s v="CUST1189"/>
    <x v="4"/>
    <d v="2025-03-13T00:00:00"/>
    <s v="Commercial"/>
    <x v="0"/>
    <x v="5"/>
    <s v="Referral"/>
    <s v="P005"/>
    <s v="Casement Windows"/>
    <s v="Windows"/>
    <n v="1"/>
    <n v="25973"/>
    <n v="0.15"/>
    <n v="25973"/>
    <n v="3895.95"/>
    <n v="22077.05"/>
    <n v="2025"/>
    <x v="9"/>
    <n v="3"/>
    <x v="2"/>
    <s v="Site Visit"/>
    <s v="Partially Paid"/>
    <s v="Completed"/>
    <n v="3"/>
    <n v="17"/>
    <n v="5"/>
    <s v="Mar"/>
    <s v="Q1"/>
    <n v="2025"/>
  </r>
  <r>
    <s v="FN10192"/>
    <s v="CUST1192"/>
    <x v="7"/>
    <d v="2025-05-08T00:00:00"/>
    <s v="Commercial"/>
    <x v="1"/>
    <x v="2"/>
    <s v="Google Ads"/>
    <s v="P007"/>
    <s v="uPVC Doors"/>
    <s v="Doors"/>
    <n v="3"/>
    <n v="32151"/>
    <n v="0"/>
    <n v="96453"/>
    <n v="0"/>
    <n v="96453"/>
    <n v="2025"/>
    <x v="4"/>
    <n v="5"/>
    <x v="1"/>
    <s v="Converted"/>
    <s v="Paid"/>
    <s v="Delayed"/>
    <n v="4"/>
    <n v="13"/>
    <n v="5"/>
    <s v="May"/>
    <s v="Q2"/>
    <n v="2025"/>
  </r>
  <r>
    <s v="FN10193"/>
    <s v="CUST1193"/>
    <x v="2"/>
    <d v="2025-05-14T00:00:00"/>
    <s v="Commercial"/>
    <x v="3"/>
    <x v="2"/>
    <s v="Referral"/>
    <s v="P002"/>
    <s v="Aluminium Windows"/>
    <s v="Windows"/>
    <n v="3"/>
    <n v="23977"/>
    <n v="0.2"/>
    <n v="71931"/>
    <n v="14386.2"/>
    <n v="57544.800000000003"/>
    <n v="2025"/>
    <x v="4"/>
    <n v="5"/>
    <x v="1"/>
    <s v="Converted"/>
    <s v="Paid"/>
    <s v="Scheduled"/>
    <n v="4"/>
    <n v="30"/>
    <n v="3"/>
    <s v="May"/>
    <s v="Q2"/>
    <n v="2025"/>
  </r>
  <r>
    <s v="FN10194"/>
    <s v="CUST1194"/>
    <x v="5"/>
    <d v="2025-09-05T00:00:00"/>
    <s v="Commercial"/>
    <x v="0"/>
    <x v="6"/>
    <s v="Facebook"/>
    <s v="P004"/>
    <s v="French Doors"/>
    <s v="Doors"/>
    <n v="2"/>
    <n v="38856"/>
    <n v="0.05"/>
    <n v="77712"/>
    <n v="3885.6"/>
    <n v="73826.399999999994"/>
    <n v="2025"/>
    <x v="6"/>
    <n v="9"/>
    <x v="3"/>
    <s v="Converted"/>
    <s v="Partially Paid"/>
    <s v="In Progress"/>
    <n v="6"/>
    <n v="21"/>
    <n v="5"/>
    <s v="Sep"/>
    <s v="Q3"/>
    <n v="2025"/>
  </r>
  <r>
    <s v="FN10195"/>
    <s v="CUST1195"/>
    <x v="6"/>
    <d v="2025-12-16T00:00:00"/>
    <s v="Commercial"/>
    <x v="0"/>
    <x v="5"/>
    <s v="Facebook"/>
    <s v="P003"/>
    <s v="Sliding Doors"/>
    <s v="Doors"/>
    <n v="3"/>
    <n v="37048"/>
    <n v="0"/>
    <n v="111144"/>
    <n v="0"/>
    <n v="111144"/>
    <n v="2025"/>
    <x v="7"/>
    <n v="12"/>
    <x v="0"/>
    <s v="Site Visit"/>
    <s v="Paid"/>
    <s v="Completed"/>
    <n v="1"/>
    <n v="24"/>
    <n v="3"/>
    <s v="Dec"/>
    <s v="Q4"/>
    <n v="2025"/>
  </r>
  <r>
    <s v="FN10196"/>
    <s v="CUST1196"/>
    <x v="0"/>
    <d v="2025-09-04T00:00:00"/>
    <s v="Commercial"/>
    <x v="3"/>
    <x v="7"/>
    <s v="Walk-in"/>
    <s v="P008"/>
    <s v="Soundproof Windows"/>
    <s v="Windows"/>
    <n v="3"/>
    <n v="51529"/>
    <n v="0.1"/>
    <n v="154587"/>
    <n v="15458.7"/>
    <n v="139128.29999999999"/>
    <n v="2025"/>
    <x v="6"/>
    <n v="9"/>
    <x v="3"/>
    <s v="Converted"/>
    <s v="Paid"/>
    <s v="In Progress"/>
    <n v="6"/>
    <n v="8"/>
    <n v="5"/>
    <s v="Sep"/>
    <s v="Q3"/>
    <n v="2025"/>
  </r>
  <r>
    <s v="FN10197"/>
    <s v="CUST1197"/>
    <x v="7"/>
    <d v="2025-12-21T00:00:00"/>
    <s v="Residential"/>
    <x v="2"/>
    <x v="1"/>
    <s v="Facebook"/>
    <s v="P007"/>
    <s v="uPVC Doors"/>
    <s v="Doors"/>
    <n v="4"/>
    <n v="31987"/>
    <n v="0.05"/>
    <n v="127948"/>
    <n v="6397.4"/>
    <n v="121550.6"/>
    <n v="2025"/>
    <x v="7"/>
    <n v="12"/>
    <x v="0"/>
    <s v="Negotiation"/>
    <s v="Paid"/>
    <s v="Completed"/>
    <n v="6"/>
    <n v="18"/>
    <n v="5"/>
    <s v="Dec"/>
    <s v="Q4"/>
    <n v="2025"/>
  </r>
  <r>
    <s v="FN10199"/>
    <s v="CUST1199"/>
    <x v="1"/>
    <d v="2025-10-02T00:00:00"/>
    <s v="Commercial"/>
    <x v="3"/>
    <x v="6"/>
    <s v="Facebook"/>
    <s v="P006"/>
    <s v="Bi-Fold Doors"/>
    <s v="Doors"/>
    <n v="1"/>
    <n v="61042"/>
    <n v="0.2"/>
    <n v="61042"/>
    <n v="12208.4"/>
    <n v="48833.599999999999"/>
    <n v="2025"/>
    <x v="0"/>
    <n v="10"/>
    <x v="0"/>
    <s v="Negotiation"/>
    <s v="Paid"/>
    <s v="In Progress"/>
    <n v="4"/>
    <n v="18"/>
    <n v="3"/>
    <s v="Oct"/>
    <s v="Q4"/>
    <n v="2025"/>
  </r>
  <r>
    <s v="FN10200"/>
    <s v="CUST1200"/>
    <x v="4"/>
    <d v="2025-11-13T00:00:00"/>
    <s v="Commercial"/>
    <x v="1"/>
    <x v="3"/>
    <s v="Referral"/>
    <s v="P005"/>
    <s v="Casement Windows"/>
    <s v="Windows"/>
    <n v="4"/>
    <n v="24027"/>
    <n v="0.05"/>
    <n v="96108"/>
    <n v="4805.3999999999996"/>
    <n v="91302.6"/>
    <n v="2025"/>
    <x v="3"/>
    <n v="11"/>
    <x v="0"/>
    <s v="Converted"/>
    <s v="Paid"/>
    <s v="Completed"/>
    <n v="3"/>
    <n v="18"/>
    <n v="5"/>
    <s v="Nov"/>
    <s v="Q4"/>
    <n v="2025"/>
  </r>
  <r>
    <s v="FN10201"/>
    <s v="CUST1201"/>
    <x v="5"/>
    <d v="2025-03-09T00:00:00"/>
    <s v="Commercial"/>
    <x v="2"/>
    <x v="6"/>
    <s v="Instagram"/>
    <s v="P004"/>
    <s v="French Doors"/>
    <s v="Doors"/>
    <n v="4"/>
    <n v="46748"/>
    <n v="0.1"/>
    <n v="186992"/>
    <n v="18699.2"/>
    <n v="168292.8"/>
    <n v="2025"/>
    <x v="9"/>
    <n v="3"/>
    <x v="2"/>
    <s v="Negotiation"/>
    <s v="Paid"/>
    <s v="Scheduled"/>
    <n v="6"/>
    <n v="16"/>
    <n v="4"/>
    <s v="Mar"/>
    <s v="Q1"/>
    <n v="2025"/>
  </r>
  <r>
    <s v="FN10205"/>
    <s v="CUST1205"/>
    <x v="7"/>
    <d v="2025-12-27T00:00:00"/>
    <s v="Commercial"/>
    <x v="1"/>
    <x v="5"/>
    <s v="Website"/>
    <s v="P007"/>
    <s v="uPVC Doors"/>
    <s v="Doors"/>
    <n v="1"/>
    <n v="29017"/>
    <n v="0.05"/>
    <n v="29017"/>
    <n v="1450.85"/>
    <n v="27566.15"/>
    <n v="2025"/>
    <x v="7"/>
    <n v="12"/>
    <x v="0"/>
    <s v="Converted"/>
    <s v="Paid"/>
    <s v="Scheduled"/>
    <n v="3"/>
    <n v="14"/>
    <n v="5"/>
    <s v="Dec"/>
    <s v="Q4"/>
    <n v="2025"/>
  </r>
  <r>
    <s v="FN10207"/>
    <s v="CUST1207"/>
    <x v="5"/>
    <d v="2025-12-19T00:00:00"/>
    <s v="Commercial"/>
    <x v="2"/>
    <x v="5"/>
    <s v="Facebook"/>
    <s v="P004"/>
    <s v="French Doors"/>
    <s v="Doors"/>
    <n v="2"/>
    <n v="42659"/>
    <n v="0.05"/>
    <n v="85318"/>
    <n v="4265.8999999999996"/>
    <n v="81052.100000000006"/>
    <n v="2025"/>
    <x v="7"/>
    <n v="12"/>
    <x v="0"/>
    <s v="Converted"/>
    <s v="Paid"/>
    <s v="Scheduled"/>
    <n v="1"/>
    <n v="13"/>
    <n v="5"/>
    <s v="Dec"/>
    <s v="Q4"/>
    <n v="2025"/>
  </r>
  <r>
    <s v="FN10209"/>
    <s v="CUST1209"/>
    <x v="5"/>
    <d v="2025-03-13T00:00:00"/>
    <s v="Commercial"/>
    <x v="1"/>
    <x v="4"/>
    <s v="Google Ads"/>
    <s v="P004"/>
    <s v="French Doors"/>
    <s v="Doors"/>
    <n v="5"/>
    <n v="45297"/>
    <n v="0.1"/>
    <n v="226485"/>
    <n v="22648.5"/>
    <n v="203836.5"/>
    <n v="2025"/>
    <x v="9"/>
    <n v="3"/>
    <x v="2"/>
    <s v="Lost"/>
    <s v="Pending"/>
    <s v="Completed"/>
    <n v="3"/>
    <n v="18"/>
    <n v="2"/>
    <s v="Mar"/>
    <s v="Q1"/>
    <n v="2025"/>
  </r>
  <r>
    <s v="FN10211"/>
    <s v="CUST1211"/>
    <x v="3"/>
    <d v="2025-11-28T00:00:00"/>
    <s v="Commercial"/>
    <x v="3"/>
    <x v="4"/>
    <s v="Website"/>
    <s v="P001"/>
    <s v="uPVC Windows"/>
    <s v="Windows"/>
    <n v="2"/>
    <n v="17644"/>
    <n v="0.15"/>
    <n v="35288"/>
    <n v="5293.2"/>
    <n v="29994.799999999999"/>
    <n v="2025"/>
    <x v="3"/>
    <n v="11"/>
    <x v="0"/>
    <s v="Negotiation"/>
    <s v="Pending"/>
    <s v="In Progress"/>
    <n v="6"/>
    <n v="22"/>
    <n v="3"/>
    <s v="Nov"/>
    <s v="Q4"/>
    <n v="2025"/>
  </r>
  <r>
    <s v="FN10212"/>
    <s v="CUST1212"/>
    <x v="3"/>
    <d v="2025-02-08T00:00:00"/>
    <s v="Residential"/>
    <x v="0"/>
    <x v="4"/>
    <s v="Dealer"/>
    <s v="P001"/>
    <s v="uPVC Windows"/>
    <s v="Windows"/>
    <n v="4"/>
    <n v="16973"/>
    <n v="0.1"/>
    <n v="67892"/>
    <n v="6789.2"/>
    <n v="61102.8"/>
    <n v="2025"/>
    <x v="2"/>
    <n v="2"/>
    <x v="2"/>
    <s v="New"/>
    <s v="Pending"/>
    <s v="Scheduled"/>
    <n v="1"/>
    <n v="16"/>
    <n v="4"/>
    <s v="Feb"/>
    <s v="Q1"/>
    <n v="2025"/>
  </r>
  <r>
    <s v="FN10213"/>
    <s v="CUST1213"/>
    <x v="3"/>
    <d v="2025-11-07T00:00:00"/>
    <s v="Commercial"/>
    <x v="1"/>
    <x v="7"/>
    <s v="Instagram"/>
    <s v="P001"/>
    <s v="uPVC Windows"/>
    <s v="Windows"/>
    <n v="5"/>
    <n v="17997"/>
    <n v="0.15"/>
    <n v="89985"/>
    <n v="13497.75"/>
    <n v="76487.25"/>
    <n v="2025"/>
    <x v="3"/>
    <n v="11"/>
    <x v="0"/>
    <s v="Converted"/>
    <s v="Pending"/>
    <s v="Completed"/>
    <n v="5"/>
    <n v="26"/>
    <n v="5"/>
    <s v="Nov"/>
    <s v="Q4"/>
    <n v="2025"/>
  </r>
  <r>
    <s v="FN10214"/>
    <s v="CUST1214"/>
    <x v="5"/>
    <d v="2025-04-09T00:00:00"/>
    <s v="Commercial"/>
    <x v="2"/>
    <x v="2"/>
    <s v="Referral"/>
    <s v="P004"/>
    <s v="French Doors"/>
    <s v="Doors"/>
    <n v="5"/>
    <n v="40691"/>
    <n v="0.05"/>
    <n v="203455"/>
    <n v="10172.75"/>
    <n v="193282.25"/>
    <n v="2025"/>
    <x v="5"/>
    <n v="4"/>
    <x v="1"/>
    <s v="Site Visit"/>
    <s v="Pending"/>
    <s v="Scheduled"/>
    <n v="7"/>
    <n v="13"/>
    <n v="4"/>
    <s v="Apr"/>
    <s v="Q2"/>
    <n v="2025"/>
  </r>
  <r>
    <s v="FN10215"/>
    <s v="CUST1215"/>
    <x v="0"/>
    <d v="2025-03-16T00:00:00"/>
    <s v="Commercial"/>
    <x v="1"/>
    <x v="3"/>
    <s v="Instagram"/>
    <s v="P008"/>
    <s v="Soundproof Windows"/>
    <s v="Windows"/>
    <n v="2"/>
    <n v="47640"/>
    <n v="0"/>
    <n v="95280"/>
    <n v="0"/>
    <n v="95280"/>
    <n v="2025"/>
    <x v="9"/>
    <n v="3"/>
    <x v="2"/>
    <s v="Negotiation"/>
    <s v="Paid"/>
    <s v="In Progress"/>
    <n v="5"/>
    <n v="28"/>
    <n v="5"/>
    <s v="Mar"/>
    <s v="Q1"/>
    <n v="2025"/>
  </r>
  <r>
    <s v="FN10224"/>
    <s v="CUST1224"/>
    <x v="2"/>
    <d v="2025-10-31T00:00:00"/>
    <s v="Residential"/>
    <x v="3"/>
    <x v="5"/>
    <s v="Referral"/>
    <s v="P002"/>
    <s v="Aluminium Windows"/>
    <s v="Windows"/>
    <n v="4"/>
    <n v="22458"/>
    <n v="0.15"/>
    <n v="89832"/>
    <n v="13474.8"/>
    <n v="76357.2"/>
    <n v="2025"/>
    <x v="0"/>
    <n v="10"/>
    <x v="0"/>
    <s v="Converted"/>
    <s v="Paid"/>
    <s v="Scheduled"/>
    <n v="7"/>
    <n v="15"/>
    <n v="5"/>
    <s v="Oct"/>
    <s v="Q4"/>
    <n v="2025"/>
  </r>
  <r>
    <s v="FN10226"/>
    <s v="CUST1226"/>
    <x v="4"/>
    <d v="2025-12-03T00:00:00"/>
    <s v="Residential"/>
    <x v="3"/>
    <x v="0"/>
    <s v="Facebook"/>
    <s v="P005"/>
    <s v="Casement Windows"/>
    <s v="Windows"/>
    <n v="1"/>
    <n v="28905"/>
    <n v="0.15"/>
    <n v="28905"/>
    <n v="4335.75"/>
    <n v="24569.25"/>
    <n v="2025"/>
    <x v="7"/>
    <n v="12"/>
    <x v="0"/>
    <s v="Converted"/>
    <s v="Paid"/>
    <s v="In Progress"/>
    <n v="7"/>
    <n v="27"/>
    <n v="1"/>
    <s v="Dec"/>
    <s v="Q4"/>
    <n v="2025"/>
  </r>
  <r>
    <s v="FN10227"/>
    <s v="CUST1227"/>
    <x v="0"/>
    <d v="2025-01-22T00:00:00"/>
    <s v="Commercial"/>
    <x v="0"/>
    <x v="3"/>
    <s v="Dealer"/>
    <s v="P008"/>
    <s v="Soundproof Windows"/>
    <s v="Windows"/>
    <n v="5"/>
    <n v="43566"/>
    <n v="0.15"/>
    <n v="217830"/>
    <n v="32674.5"/>
    <n v="185155.5"/>
    <n v="2025"/>
    <x v="10"/>
    <n v="1"/>
    <x v="2"/>
    <s v="Negotiation"/>
    <s v="Pending"/>
    <s v="Completed"/>
    <n v="3"/>
    <n v="28"/>
    <n v="4"/>
    <s v="Jan"/>
    <s v="Q1"/>
    <n v="2025"/>
  </r>
  <r>
    <s v="FN10231"/>
    <s v="CUST1231"/>
    <x v="2"/>
    <d v="2025-08-22T00:00:00"/>
    <s v="Commercial"/>
    <x v="0"/>
    <x v="4"/>
    <s v="Instagram"/>
    <s v="P002"/>
    <s v="Aluminium Windows"/>
    <s v="Windows"/>
    <n v="4"/>
    <n v="23688"/>
    <n v="0"/>
    <n v="94752"/>
    <n v="0"/>
    <n v="94752"/>
    <n v="2025"/>
    <x v="8"/>
    <n v="8"/>
    <x v="3"/>
    <s v="Converted"/>
    <s v="Pending"/>
    <s v="Completed"/>
    <n v="7"/>
    <n v="18"/>
    <n v="3"/>
    <s v="Aug"/>
    <s v="Q3"/>
    <n v="2025"/>
  </r>
  <r>
    <s v="FN10232"/>
    <s v="CUST1232"/>
    <x v="7"/>
    <d v="2025-01-27T00:00:00"/>
    <s v="Residential"/>
    <x v="1"/>
    <x v="6"/>
    <s v="Dealer"/>
    <s v="P007"/>
    <s v="uPVC Doors"/>
    <s v="Doors"/>
    <n v="6"/>
    <n v="29411"/>
    <n v="0.1"/>
    <n v="176466"/>
    <n v="17646.599999999999"/>
    <n v="158819.4"/>
    <n v="2025"/>
    <x v="10"/>
    <n v="1"/>
    <x v="2"/>
    <s v="Lost"/>
    <s v="Paid"/>
    <s v="Completed"/>
    <n v="1"/>
    <n v="29"/>
    <n v="3"/>
    <s v="Jan"/>
    <s v="Q1"/>
    <n v="2025"/>
  </r>
  <r>
    <s v="FN10234"/>
    <s v="CUST1234"/>
    <x v="5"/>
    <d v="2025-07-24T00:00:00"/>
    <s v="Residential"/>
    <x v="3"/>
    <x v="0"/>
    <s v="Google Ads"/>
    <s v="P004"/>
    <s v="French Doors"/>
    <s v="Doors"/>
    <n v="3"/>
    <n v="45941"/>
    <n v="0.05"/>
    <n v="137823"/>
    <n v="6891.15"/>
    <n v="130931.85"/>
    <n v="2025"/>
    <x v="11"/>
    <n v="7"/>
    <x v="3"/>
    <s v="Converted"/>
    <s v="Partially Paid"/>
    <s v="Completed"/>
    <n v="4"/>
    <n v="21"/>
    <n v="4"/>
    <s v="Jul"/>
    <s v="Q3"/>
    <n v="2025"/>
  </r>
  <r>
    <s v="FN10235"/>
    <s v="CUST1235"/>
    <x v="7"/>
    <d v="2025-08-29T00:00:00"/>
    <s v="Commercial"/>
    <x v="2"/>
    <x v="6"/>
    <s v="Instagram"/>
    <s v="P007"/>
    <s v="uPVC Doors"/>
    <s v="Doors"/>
    <n v="2"/>
    <n v="32872"/>
    <n v="0.1"/>
    <n v="65744"/>
    <n v="6574.4"/>
    <n v="59169.599999999999"/>
    <n v="2025"/>
    <x v="8"/>
    <n v="8"/>
    <x v="3"/>
    <s v="Negotiation"/>
    <s v="Paid"/>
    <s v="Completed"/>
    <n v="4"/>
    <n v="29"/>
    <n v="2"/>
    <s v="Aug"/>
    <s v="Q3"/>
    <n v="2025"/>
  </r>
  <r>
    <s v="FN10236"/>
    <s v="CUST1236"/>
    <x v="5"/>
    <d v="2025-05-19T00:00:00"/>
    <s v="Residential"/>
    <x v="0"/>
    <x v="2"/>
    <s v="Referral"/>
    <s v="P004"/>
    <s v="French Doors"/>
    <s v="Doors"/>
    <n v="1"/>
    <n v="41582"/>
    <n v="0.05"/>
    <n v="41582"/>
    <n v="2079.1"/>
    <n v="39502.9"/>
    <n v="2025"/>
    <x v="4"/>
    <n v="5"/>
    <x v="1"/>
    <s v="Site Visit"/>
    <s v="Pending"/>
    <s v="Completed"/>
    <n v="1"/>
    <n v="10"/>
    <n v="4"/>
    <s v="May"/>
    <s v="Q2"/>
    <n v="2025"/>
  </r>
  <r>
    <s v="FN10237"/>
    <s v="CUST1237"/>
    <x v="5"/>
    <d v="2025-06-28T00:00:00"/>
    <s v="Residential"/>
    <x v="1"/>
    <x v="2"/>
    <s v="Facebook"/>
    <s v="P004"/>
    <s v="French Doors"/>
    <s v="Doors"/>
    <n v="5"/>
    <n v="39018"/>
    <n v="0"/>
    <n v="195090"/>
    <n v="0"/>
    <n v="195090"/>
    <n v="2025"/>
    <x v="1"/>
    <n v="6"/>
    <x v="1"/>
    <s v="New"/>
    <s v="Partially Paid"/>
    <s v="Completed"/>
    <n v="5"/>
    <n v="25"/>
    <n v="5"/>
    <s v="Jun"/>
    <s v="Q2"/>
    <n v="2025"/>
  </r>
  <r>
    <s v="FN10238"/>
    <s v="CUST1238"/>
    <x v="4"/>
    <d v="2025-01-24T00:00:00"/>
    <s v="Residential"/>
    <x v="2"/>
    <x v="6"/>
    <s v="Walk-in"/>
    <s v="P005"/>
    <s v="Casement Windows"/>
    <s v="Windows"/>
    <n v="4"/>
    <n v="24242"/>
    <n v="0.1"/>
    <n v="96968"/>
    <n v="9696.7999999999993"/>
    <n v="87271.2"/>
    <n v="2025"/>
    <x v="10"/>
    <n v="1"/>
    <x v="2"/>
    <s v="Converted"/>
    <s v="Partially Paid"/>
    <s v="Delayed"/>
    <n v="1"/>
    <n v="9"/>
    <n v="4"/>
    <s v="Jan"/>
    <s v="Q1"/>
    <n v="2025"/>
  </r>
  <r>
    <s v="FN10239"/>
    <s v="CUST1239"/>
    <x v="7"/>
    <d v="2025-01-28T00:00:00"/>
    <s v="Commercial"/>
    <x v="2"/>
    <x v="1"/>
    <s v="Referral"/>
    <s v="P007"/>
    <s v="uPVC Doors"/>
    <s v="Doors"/>
    <n v="1"/>
    <n v="30569"/>
    <n v="0"/>
    <n v="30569"/>
    <n v="0"/>
    <n v="30569"/>
    <n v="2025"/>
    <x v="10"/>
    <n v="1"/>
    <x v="2"/>
    <s v="Converted"/>
    <s v="Pending"/>
    <s v="Completed"/>
    <n v="5"/>
    <n v="17"/>
    <n v="4"/>
    <s v="Jan"/>
    <s v="Q1"/>
    <n v="2025"/>
  </r>
  <r>
    <s v="FN10240"/>
    <s v="CUST1240"/>
    <x v="2"/>
    <d v="2025-01-16T00:00:00"/>
    <s v="Commercial"/>
    <x v="2"/>
    <x v="6"/>
    <s v="Referral"/>
    <s v="P002"/>
    <s v="Aluminium Windows"/>
    <s v="Windows"/>
    <n v="1"/>
    <n v="23415"/>
    <n v="0.1"/>
    <n v="23415"/>
    <n v="2341.5"/>
    <n v="21073.5"/>
    <n v="2025"/>
    <x v="10"/>
    <n v="1"/>
    <x v="2"/>
    <s v="Site Visit"/>
    <s v="Paid"/>
    <s v="Completed"/>
    <n v="7"/>
    <n v="8"/>
    <n v="5"/>
    <s v="Jan"/>
    <s v="Q1"/>
    <n v="2025"/>
  </r>
  <r>
    <s v="FN10241"/>
    <s v="CUST1241"/>
    <x v="5"/>
    <d v="2025-11-22T00:00:00"/>
    <s v="Commercial"/>
    <x v="2"/>
    <x v="6"/>
    <s v="Referral"/>
    <s v="P004"/>
    <s v="French Doors"/>
    <s v="Doors"/>
    <n v="4"/>
    <n v="38348"/>
    <n v="0.1"/>
    <n v="153392"/>
    <n v="15339.2"/>
    <n v="138052.79999999999"/>
    <n v="2025"/>
    <x v="3"/>
    <n v="11"/>
    <x v="0"/>
    <s v="Converted"/>
    <s v="Paid"/>
    <s v="In Progress"/>
    <n v="1"/>
    <n v="26"/>
    <n v="5"/>
    <s v="Nov"/>
    <s v="Q4"/>
    <n v="2025"/>
  </r>
  <r>
    <s v="FN10243"/>
    <s v="CUST1243"/>
    <x v="5"/>
    <d v="2025-07-01T00:00:00"/>
    <s v="Commercial"/>
    <x v="0"/>
    <x v="2"/>
    <s v="Google Ads"/>
    <s v="P004"/>
    <s v="French Doors"/>
    <s v="Doors"/>
    <n v="4"/>
    <n v="37904"/>
    <n v="0.1"/>
    <n v="151616"/>
    <n v="15161.6"/>
    <n v="136454.39999999999"/>
    <n v="2025"/>
    <x v="11"/>
    <n v="7"/>
    <x v="3"/>
    <s v="Site Visit"/>
    <s v="Paid"/>
    <s v="Scheduled"/>
    <n v="7"/>
    <n v="21"/>
    <n v="4"/>
    <s v="Jul"/>
    <s v="Q3"/>
    <n v="2025"/>
  </r>
  <r>
    <s v="FN10244"/>
    <s v="CUST1244"/>
    <x v="2"/>
    <d v="2025-10-10T00:00:00"/>
    <s v="Commercial"/>
    <x v="1"/>
    <x v="5"/>
    <s v="Walk-in"/>
    <s v="P002"/>
    <s v="Aluminium Windows"/>
    <s v="Windows"/>
    <n v="6"/>
    <n v="19893"/>
    <n v="0.15"/>
    <n v="119358"/>
    <n v="17903.7"/>
    <n v="101454.3"/>
    <n v="2025"/>
    <x v="0"/>
    <n v="10"/>
    <x v="0"/>
    <s v="Converted"/>
    <s v="Paid"/>
    <s v="Completed"/>
    <n v="1"/>
    <n v="27"/>
    <n v="4"/>
    <s v="Oct"/>
    <s v="Q4"/>
    <n v="2025"/>
  </r>
  <r>
    <s v="FN10246"/>
    <s v="CUST1246"/>
    <x v="0"/>
    <d v="2025-02-14T00:00:00"/>
    <s v="Residential"/>
    <x v="1"/>
    <x v="4"/>
    <s v="Google Ads"/>
    <s v="P008"/>
    <s v="Soundproof Windows"/>
    <s v="Windows"/>
    <n v="6"/>
    <n v="45027"/>
    <n v="0.15"/>
    <n v="270162"/>
    <n v="40524.300000000003"/>
    <n v="229637.7"/>
    <n v="2025"/>
    <x v="2"/>
    <n v="2"/>
    <x v="2"/>
    <s v="Negotiation"/>
    <s v="Paid"/>
    <s v="Completed"/>
    <n v="4"/>
    <n v="30"/>
    <n v="4"/>
    <s v="Feb"/>
    <s v="Q1"/>
    <n v="2025"/>
  </r>
  <r>
    <s v="FN10247"/>
    <s v="CUST1247"/>
    <x v="0"/>
    <d v="2025-04-29T00:00:00"/>
    <s v="Residential"/>
    <x v="3"/>
    <x v="3"/>
    <s v="Referral"/>
    <s v="P008"/>
    <s v="Soundproof Windows"/>
    <s v="Windows"/>
    <n v="5"/>
    <n v="49568"/>
    <n v="0.1"/>
    <n v="247840"/>
    <n v="24784"/>
    <n v="223056"/>
    <n v="2025"/>
    <x v="5"/>
    <n v="4"/>
    <x v="1"/>
    <s v="Site Visit"/>
    <s v="Paid"/>
    <s v="In Progress"/>
    <n v="7"/>
    <n v="14"/>
    <n v="5"/>
    <s v="Apr"/>
    <s v="Q2"/>
    <n v="2025"/>
  </r>
  <r>
    <s v="FN10250"/>
    <s v="CUST1250"/>
    <x v="4"/>
    <d v="2025-05-02T00:00:00"/>
    <s v="Commercial"/>
    <x v="2"/>
    <x v="0"/>
    <s v="Google Ads"/>
    <s v="P005"/>
    <s v="Casement Windows"/>
    <s v="Windows"/>
    <n v="5"/>
    <n v="29655"/>
    <n v="0.1"/>
    <n v="148275"/>
    <n v="14827.5"/>
    <n v="133447.5"/>
    <n v="2025"/>
    <x v="4"/>
    <n v="5"/>
    <x v="1"/>
    <s v="Negotiation"/>
    <s v="Paid"/>
    <s v="Completed"/>
    <n v="3"/>
    <n v="10"/>
    <n v="4"/>
    <s v="May"/>
    <s v="Q2"/>
    <n v="2025"/>
  </r>
  <r>
    <s v="FN10251"/>
    <s v="CUST1251"/>
    <x v="5"/>
    <d v="2025-08-23T00:00:00"/>
    <s v="Residential"/>
    <x v="0"/>
    <x v="1"/>
    <s v="Instagram"/>
    <s v="P004"/>
    <s v="French Doors"/>
    <s v="Doors"/>
    <n v="4"/>
    <n v="46658"/>
    <n v="0.2"/>
    <n v="186632"/>
    <n v="37326.400000000001"/>
    <n v="149305.60000000001"/>
    <n v="2025"/>
    <x v="8"/>
    <n v="8"/>
    <x v="3"/>
    <s v="Converted"/>
    <s v="Pending"/>
    <s v="Completed"/>
    <n v="3"/>
    <n v="20"/>
    <n v="4"/>
    <s v="Aug"/>
    <s v="Q3"/>
    <n v="2025"/>
  </r>
  <r>
    <s v="FN10252"/>
    <s v="CUST1252"/>
    <x v="6"/>
    <d v="2025-03-31T00:00:00"/>
    <s v="Residential"/>
    <x v="0"/>
    <x v="1"/>
    <s v="Instagram"/>
    <s v="P003"/>
    <s v="Sliding Doors"/>
    <s v="Doors"/>
    <n v="6"/>
    <n v="36483"/>
    <n v="0.05"/>
    <n v="218898"/>
    <n v="10944.9"/>
    <n v="207953.1"/>
    <n v="2025"/>
    <x v="9"/>
    <n v="3"/>
    <x v="2"/>
    <s v="Converted"/>
    <s v="Partially Paid"/>
    <s v="Delayed"/>
    <n v="4"/>
    <n v="16"/>
    <n v="5"/>
    <s v="Mar"/>
    <s v="Q1"/>
    <n v="2025"/>
  </r>
  <r>
    <s v="FN10253"/>
    <s v="CUST1253"/>
    <x v="6"/>
    <d v="2025-05-05T00:00:00"/>
    <s v="Commercial"/>
    <x v="0"/>
    <x v="5"/>
    <s v="Instagram"/>
    <s v="P003"/>
    <s v="Sliding Doors"/>
    <s v="Doors"/>
    <n v="2"/>
    <n v="37610"/>
    <n v="0.05"/>
    <n v="75220"/>
    <n v="3761"/>
    <n v="71459"/>
    <n v="2025"/>
    <x v="4"/>
    <n v="5"/>
    <x v="1"/>
    <s v="Converted"/>
    <s v="Pending"/>
    <s v="Scheduled"/>
    <n v="4"/>
    <n v="19"/>
    <n v="3"/>
    <s v="May"/>
    <s v="Q2"/>
    <n v="2025"/>
  </r>
  <r>
    <s v="FN10258"/>
    <s v="CUST1258"/>
    <x v="2"/>
    <d v="2025-11-11T00:00:00"/>
    <s v="Residential"/>
    <x v="1"/>
    <x v="0"/>
    <s v="Google Ads"/>
    <s v="P002"/>
    <s v="Aluminium Windows"/>
    <s v="Windows"/>
    <n v="3"/>
    <n v="23934"/>
    <n v="0.05"/>
    <n v="71802"/>
    <n v="3590.1"/>
    <n v="68211.899999999994"/>
    <n v="2025"/>
    <x v="3"/>
    <n v="11"/>
    <x v="0"/>
    <s v="Site Visit"/>
    <s v="Paid"/>
    <s v="Completed"/>
    <n v="3"/>
    <n v="28"/>
    <n v="4"/>
    <s v="Nov"/>
    <s v="Q4"/>
    <n v="2025"/>
  </r>
  <r>
    <s v="FN10259"/>
    <s v="CUST1259"/>
    <x v="6"/>
    <d v="2025-03-17T00:00:00"/>
    <s v="Residential"/>
    <x v="3"/>
    <x v="7"/>
    <s v="Instagram"/>
    <s v="P003"/>
    <s v="Sliding Doors"/>
    <s v="Doors"/>
    <n v="2"/>
    <n v="38847"/>
    <n v="0"/>
    <n v="77694"/>
    <n v="0"/>
    <n v="77694"/>
    <n v="2025"/>
    <x v="9"/>
    <n v="3"/>
    <x v="2"/>
    <s v="New"/>
    <s v="Paid"/>
    <s v="Scheduled"/>
    <n v="7"/>
    <n v="14"/>
    <n v="5"/>
    <s v="Mar"/>
    <s v="Q1"/>
    <n v="2025"/>
  </r>
  <r>
    <s v="FN10262"/>
    <s v="CUST1262"/>
    <x v="4"/>
    <d v="2025-03-10T00:00:00"/>
    <s v="Residential"/>
    <x v="1"/>
    <x v="2"/>
    <s v="Dealer"/>
    <s v="P005"/>
    <s v="Casement Windows"/>
    <s v="Windows"/>
    <n v="6"/>
    <n v="26953"/>
    <n v="0.1"/>
    <n v="161718"/>
    <n v="16171.8"/>
    <n v="145546.20000000001"/>
    <n v="2025"/>
    <x v="9"/>
    <n v="3"/>
    <x v="2"/>
    <s v="Converted"/>
    <s v="Partially Paid"/>
    <s v="Completed"/>
    <n v="7"/>
    <n v="10"/>
    <n v="1"/>
    <s v="Mar"/>
    <s v="Q1"/>
    <n v="2025"/>
  </r>
  <r>
    <s v="FN10263"/>
    <s v="CUST1263"/>
    <x v="5"/>
    <d v="2025-01-03T00:00:00"/>
    <s v="Commercial"/>
    <x v="2"/>
    <x v="1"/>
    <s v="Instagram"/>
    <s v="P004"/>
    <s v="French Doors"/>
    <s v="Doors"/>
    <n v="3"/>
    <n v="38344"/>
    <n v="0.05"/>
    <n v="115032"/>
    <n v="5751.6"/>
    <n v="109280.4"/>
    <n v="2025"/>
    <x v="10"/>
    <n v="1"/>
    <x v="2"/>
    <s v="Negotiation"/>
    <s v="Paid"/>
    <s v="Scheduled"/>
    <n v="2"/>
    <n v="22"/>
    <n v="5"/>
    <s v="Jan"/>
    <s v="Q1"/>
    <n v="2025"/>
  </r>
  <r>
    <s v="FN10265"/>
    <s v="CUST1265"/>
    <x v="0"/>
    <d v="2025-02-28T00:00:00"/>
    <s v="Residential"/>
    <x v="2"/>
    <x v="6"/>
    <s v="Website"/>
    <s v="P008"/>
    <s v="Soundproof Windows"/>
    <s v="Windows"/>
    <n v="2"/>
    <n v="51711"/>
    <n v="0"/>
    <n v="103422"/>
    <n v="0"/>
    <n v="103422"/>
    <n v="2025"/>
    <x v="2"/>
    <n v="2"/>
    <x v="2"/>
    <s v="Lost"/>
    <s v="Paid"/>
    <s v="Completed"/>
    <n v="4"/>
    <n v="20"/>
    <n v="4"/>
    <s v="Feb"/>
    <s v="Q1"/>
    <n v="2025"/>
  </r>
  <r>
    <s v="FN10266"/>
    <s v="CUST1266"/>
    <x v="3"/>
    <d v="2025-05-03T00:00:00"/>
    <s v="Residential"/>
    <x v="1"/>
    <x v="1"/>
    <s v="Referral"/>
    <s v="P001"/>
    <s v="uPVC Windows"/>
    <s v="Windows"/>
    <n v="5"/>
    <n v="18720"/>
    <n v="0.15"/>
    <n v="93600"/>
    <n v="14040"/>
    <n v="79560"/>
    <n v="2025"/>
    <x v="4"/>
    <n v="5"/>
    <x v="1"/>
    <s v="Lost"/>
    <s v="Paid"/>
    <s v="Completed"/>
    <n v="7"/>
    <n v="11"/>
    <n v="4"/>
    <s v="May"/>
    <s v="Q2"/>
    <n v="2025"/>
  </r>
  <r>
    <s v="FN10267"/>
    <s v="CUST1267"/>
    <x v="3"/>
    <d v="2025-06-16T00:00:00"/>
    <s v="Residential"/>
    <x v="1"/>
    <x v="4"/>
    <s v="Website"/>
    <s v="P001"/>
    <s v="uPVC Windows"/>
    <s v="Windows"/>
    <n v="5"/>
    <n v="20077"/>
    <n v="0.05"/>
    <n v="100385"/>
    <n v="5019.25"/>
    <n v="95365.75"/>
    <n v="2025"/>
    <x v="1"/>
    <n v="6"/>
    <x v="1"/>
    <s v="Converted"/>
    <s v="Paid"/>
    <s v="Delayed"/>
    <n v="3"/>
    <n v="21"/>
    <n v="5"/>
    <s v="Jun"/>
    <s v="Q2"/>
    <n v="2025"/>
  </r>
  <r>
    <s v="FN10268"/>
    <s v="CUST1268"/>
    <x v="5"/>
    <d v="2025-06-24T00:00:00"/>
    <s v="Residential"/>
    <x v="0"/>
    <x v="7"/>
    <s v="Referral"/>
    <s v="P004"/>
    <s v="French Doors"/>
    <s v="Doors"/>
    <n v="5"/>
    <n v="47744"/>
    <n v="0.1"/>
    <n v="238720"/>
    <n v="23872"/>
    <n v="214848"/>
    <n v="2025"/>
    <x v="1"/>
    <n v="6"/>
    <x v="1"/>
    <s v="Site Visit"/>
    <s v="Partially Paid"/>
    <s v="Completed"/>
    <n v="3"/>
    <n v="15"/>
    <n v="5"/>
    <s v="Jun"/>
    <s v="Q2"/>
    <n v="2025"/>
  </r>
  <r>
    <s v="FN10273"/>
    <s v="CUST1273"/>
    <x v="1"/>
    <d v="2025-02-19T00:00:00"/>
    <s v="Commercial"/>
    <x v="2"/>
    <x v="7"/>
    <s v="Instagram"/>
    <s v="P006"/>
    <s v="Bi-Fold Doors"/>
    <s v="Doors"/>
    <n v="1"/>
    <n v="58924"/>
    <n v="0.05"/>
    <n v="58924"/>
    <n v="2946.2"/>
    <n v="55977.8"/>
    <n v="2025"/>
    <x v="2"/>
    <n v="2"/>
    <x v="2"/>
    <s v="Lost"/>
    <s v="Partially Paid"/>
    <s v="In Progress"/>
    <n v="7"/>
    <n v="27"/>
    <n v="3"/>
    <s v="Feb"/>
    <s v="Q1"/>
    <n v="2025"/>
  </r>
  <r>
    <s v="FN10274"/>
    <s v="CUST1274"/>
    <x v="6"/>
    <d v="2025-05-08T00:00:00"/>
    <s v="Commercial"/>
    <x v="0"/>
    <x v="7"/>
    <s v="Google Ads"/>
    <s v="P003"/>
    <s v="Sliding Doors"/>
    <s v="Doors"/>
    <n v="6"/>
    <n v="36759"/>
    <n v="0.2"/>
    <n v="220554"/>
    <n v="44110.8"/>
    <n v="176443.2"/>
    <n v="2025"/>
    <x v="4"/>
    <n v="5"/>
    <x v="1"/>
    <s v="New"/>
    <s v="Paid"/>
    <s v="Completed"/>
    <n v="2"/>
    <n v="21"/>
    <n v="2"/>
    <s v="May"/>
    <s v="Q2"/>
    <n v="2025"/>
  </r>
  <r>
    <s v="FN10277"/>
    <s v="CUST1277"/>
    <x v="6"/>
    <d v="2025-03-25T00:00:00"/>
    <s v="Commercial"/>
    <x v="2"/>
    <x v="1"/>
    <s v="Dealer"/>
    <s v="P003"/>
    <s v="Sliding Doors"/>
    <s v="Doors"/>
    <n v="3"/>
    <n v="37174"/>
    <n v="0.05"/>
    <n v="111522"/>
    <n v="5576.1"/>
    <n v="105945.9"/>
    <n v="2025"/>
    <x v="9"/>
    <n v="3"/>
    <x v="2"/>
    <s v="Converted"/>
    <s v="Partially Paid"/>
    <s v="In Progress"/>
    <n v="6"/>
    <n v="13"/>
    <n v="4"/>
    <s v="Mar"/>
    <s v="Q1"/>
    <n v="2025"/>
  </r>
  <r>
    <s v="FN10278"/>
    <s v="CUST1278"/>
    <x v="6"/>
    <d v="2025-09-15T00:00:00"/>
    <s v="Residential"/>
    <x v="0"/>
    <x v="4"/>
    <s v="Instagram"/>
    <s v="P003"/>
    <s v="Sliding Doors"/>
    <s v="Doors"/>
    <n v="5"/>
    <n v="33023"/>
    <n v="0"/>
    <n v="165115"/>
    <n v="0"/>
    <n v="165115"/>
    <n v="2025"/>
    <x v="6"/>
    <n v="9"/>
    <x v="3"/>
    <s v="Converted"/>
    <s v="Pending"/>
    <s v="Completed"/>
    <n v="6"/>
    <n v="8"/>
    <n v="5"/>
    <s v="Sep"/>
    <s v="Q3"/>
    <n v="2025"/>
  </r>
  <r>
    <s v="FN10279"/>
    <s v="CUST1279"/>
    <x v="3"/>
    <d v="2025-10-11T00:00:00"/>
    <s v="Residential"/>
    <x v="1"/>
    <x v="2"/>
    <s v="Facebook"/>
    <s v="P001"/>
    <s v="uPVC Windows"/>
    <s v="Windows"/>
    <n v="1"/>
    <n v="16269"/>
    <n v="0.1"/>
    <n v="16269"/>
    <n v="1626.9"/>
    <n v="14642.1"/>
    <n v="2025"/>
    <x v="0"/>
    <n v="10"/>
    <x v="0"/>
    <s v="Lost"/>
    <s v="Paid"/>
    <s v="Scheduled"/>
    <n v="2"/>
    <n v="10"/>
    <n v="5"/>
    <s v="Oct"/>
    <s v="Q4"/>
    <n v="2025"/>
  </r>
  <r>
    <s v="FN10281"/>
    <s v="CUST1281"/>
    <x v="6"/>
    <d v="2025-09-05T00:00:00"/>
    <s v="Commercial"/>
    <x v="0"/>
    <x v="2"/>
    <s v="Walk-in"/>
    <s v="P003"/>
    <s v="Sliding Doors"/>
    <s v="Doors"/>
    <n v="4"/>
    <n v="36866"/>
    <n v="0.1"/>
    <n v="147464"/>
    <n v="14746.4"/>
    <n v="132717.6"/>
    <n v="2025"/>
    <x v="6"/>
    <n v="9"/>
    <x v="3"/>
    <s v="Converted"/>
    <s v="Paid"/>
    <s v="Scheduled"/>
    <n v="4"/>
    <n v="19"/>
    <n v="1"/>
    <s v="Sep"/>
    <s v="Q3"/>
    <n v="2025"/>
  </r>
  <r>
    <s v="FN10282"/>
    <s v="CUST1282"/>
    <x v="3"/>
    <d v="2025-03-10T00:00:00"/>
    <s v="Residential"/>
    <x v="0"/>
    <x v="1"/>
    <s v="Dealer"/>
    <s v="P001"/>
    <s v="uPVC Windows"/>
    <s v="Windows"/>
    <n v="3"/>
    <n v="17314"/>
    <n v="0"/>
    <n v="51942"/>
    <n v="0"/>
    <n v="51942"/>
    <n v="2025"/>
    <x v="9"/>
    <n v="3"/>
    <x v="2"/>
    <s v="Negotiation"/>
    <s v="Partially Paid"/>
    <s v="Completed"/>
    <n v="7"/>
    <n v="14"/>
    <n v="5"/>
    <s v="Mar"/>
    <s v="Q1"/>
    <n v="2025"/>
  </r>
  <r>
    <s v="FN10284"/>
    <s v="CUST1284"/>
    <x v="3"/>
    <d v="2025-04-17T00:00:00"/>
    <s v="Residential"/>
    <x v="2"/>
    <x v="4"/>
    <s v="Website"/>
    <s v="P001"/>
    <s v="uPVC Windows"/>
    <s v="Windows"/>
    <n v="1"/>
    <n v="17701"/>
    <n v="0.15"/>
    <n v="17701"/>
    <n v="2655.15"/>
    <n v="15045.85"/>
    <n v="2025"/>
    <x v="5"/>
    <n v="4"/>
    <x v="1"/>
    <s v="Converted"/>
    <s v="Partially Paid"/>
    <s v="Completed"/>
    <n v="2"/>
    <n v="15"/>
    <n v="5"/>
    <s v="Apr"/>
    <s v="Q2"/>
    <n v="2025"/>
  </r>
  <r>
    <s v="FN10286"/>
    <s v="CUST1286"/>
    <x v="7"/>
    <d v="2025-03-02T00:00:00"/>
    <s v="Residential"/>
    <x v="1"/>
    <x v="7"/>
    <s v="Facebook"/>
    <s v="P007"/>
    <s v="uPVC Doors"/>
    <s v="Doors"/>
    <n v="3"/>
    <n v="30683"/>
    <n v="0.2"/>
    <n v="92049"/>
    <n v="18409.8"/>
    <n v="73639.199999999997"/>
    <n v="2025"/>
    <x v="9"/>
    <n v="3"/>
    <x v="2"/>
    <s v="Converted"/>
    <s v="Partially Paid"/>
    <s v="Completed"/>
    <n v="6"/>
    <n v="25"/>
    <n v="3"/>
    <s v="Mar"/>
    <s v="Q1"/>
    <n v="2025"/>
  </r>
  <r>
    <s v="FN10287"/>
    <s v="CUST1287"/>
    <x v="4"/>
    <d v="2025-07-21T00:00:00"/>
    <s v="Residential"/>
    <x v="3"/>
    <x v="2"/>
    <s v="Facebook"/>
    <s v="P005"/>
    <s v="Casement Windows"/>
    <s v="Windows"/>
    <n v="4"/>
    <n v="27717"/>
    <n v="0.15"/>
    <n v="110868"/>
    <n v="16630.2"/>
    <n v="94237.8"/>
    <n v="2025"/>
    <x v="11"/>
    <n v="7"/>
    <x v="3"/>
    <s v="Converted"/>
    <s v="Paid"/>
    <s v="Completed"/>
    <n v="4"/>
    <n v="28"/>
    <n v="4"/>
    <s v="Jul"/>
    <s v="Q3"/>
    <n v="2025"/>
  </r>
  <r>
    <s v="FN10291"/>
    <s v="CUST1291"/>
    <x v="4"/>
    <d v="2025-05-14T00:00:00"/>
    <s v="Residential"/>
    <x v="2"/>
    <x v="6"/>
    <s v="Dealer"/>
    <s v="P005"/>
    <s v="Casement Windows"/>
    <s v="Windows"/>
    <n v="4"/>
    <n v="26747"/>
    <n v="0"/>
    <n v="106988"/>
    <n v="0"/>
    <n v="106988"/>
    <n v="2025"/>
    <x v="4"/>
    <n v="5"/>
    <x v="1"/>
    <s v="Converted"/>
    <s v="Pending"/>
    <s v="Completed"/>
    <n v="2"/>
    <n v="19"/>
    <n v="2"/>
    <s v="May"/>
    <s v="Q2"/>
    <n v="2025"/>
  </r>
  <r>
    <s v="FN10292"/>
    <s v="CUST1292"/>
    <x v="5"/>
    <d v="2025-06-11T00:00:00"/>
    <s v="Residential"/>
    <x v="3"/>
    <x v="7"/>
    <s v="Dealer"/>
    <s v="P004"/>
    <s v="French Doors"/>
    <s v="Doors"/>
    <n v="1"/>
    <n v="40024"/>
    <n v="0.05"/>
    <n v="40024"/>
    <n v="2001.2"/>
    <n v="38022.800000000003"/>
    <n v="2025"/>
    <x v="1"/>
    <n v="6"/>
    <x v="1"/>
    <s v="Converted"/>
    <s v="Paid"/>
    <s v="Scheduled"/>
    <n v="3"/>
    <n v="13"/>
    <n v="4"/>
    <s v="Jun"/>
    <s v="Q2"/>
    <n v="2025"/>
  </r>
  <r>
    <s v="FN10294"/>
    <s v="CUST1294"/>
    <x v="4"/>
    <d v="2025-11-16T00:00:00"/>
    <s v="Commercial"/>
    <x v="1"/>
    <x v="7"/>
    <s v="Walk-in"/>
    <s v="P005"/>
    <s v="Casement Windows"/>
    <s v="Windows"/>
    <n v="5"/>
    <n v="25591"/>
    <n v="0"/>
    <n v="127955"/>
    <n v="0"/>
    <n v="127955"/>
    <n v="2025"/>
    <x v="3"/>
    <n v="11"/>
    <x v="0"/>
    <s v="Converted"/>
    <s v="Pending"/>
    <s v="Completed"/>
    <n v="1"/>
    <n v="11"/>
    <n v="4"/>
    <s v="Nov"/>
    <s v="Q4"/>
    <n v="2025"/>
  </r>
  <r>
    <s v="FN10295"/>
    <s v="CUST1295"/>
    <x v="3"/>
    <d v="2025-03-03T00:00:00"/>
    <s v="Residential"/>
    <x v="3"/>
    <x v="4"/>
    <s v="Walk-in"/>
    <s v="P001"/>
    <s v="uPVC Windows"/>
    <s v="Windows"/>
    <n v="1"/>
    <n v="20057"/>
    <n v="0.1"/>
    <n v="20057"/>
    <n v="2005.7"/>
    <n v="18051.3"/>
    <n v="2025"/>
    <x v="9"/>
    <n v="3"/>
    <x v="2"/>
    <s v="Converted"/>
    <s v="Partially Paid"/>
    <s v="Scheduled"/>
    <n v="6"/>
    <n v="13"/>
    <n v="4"/>
    <s v="Mar"/>
    <s v="Q1"/>
    <n v="2025"/>
  </r>
  <r>
    <s v="FN10301"/>
    <s v="CUST1301"/>
    <x v="6"/>
    <d v="2025-07-30T00:00:00"/>
    <s v="Residential"/>
    <x v="3"/>
    <x v="2"/>
    <s v="Dealer"/>
    <s v="P003"/>
    <s v="Sliding Doors"/>
    <s v="Doors"/>
    <n v="4"/>
    <n v="37994"/>
    <n v="0"/>
    <n v="151976"/>
    <n v="0"/>
    <n v="151976"/>
    <n v="2025"/>
    <x v="11"/>
    <n v="7"/>
    <x v="3"/>
    <s v="Site Visit"/>
    <s v="Pending"/>
    <s v="Scheduled"/>
    <n v="3"/>
    <n v="25"/>
    <n v="5"/>
    <s v="Jul"/>
    <s v="Q3"/>
    <n v="2025"/>
  </r>
  <r>
    <s v="FN10303"/>
    <s v="CUST1303"/>
    <x v="5"/>
    <d v="2025-05-18T00:00:00"/>
    <s v="Commercial"/>
    <x v="0"/>
    <x v="5"/>
    <s v="Referral"/>
    <s v="P004"/>
    <s v="French Doors"/>
    <s v="Doors"/>
    <n v="4"/>
    <n v="45630"/>
    <n v="0.1"/>
    <n v="182520"/>
    <n v="18252"/>
    <n v="164268"/>
    <n v="2025"/>
    <x v="4"/>
    <n v="5"/>
    <x v="1"/>
    <s v="Converted"/>
    <s v="Paid"/>
    <s v="Delayed"/>
    <n v="1"/>
    <n v="10"/>
    <n v="4"/>
    <s v="May"/>
    <s v="Q2"/>
    <n v="2025"/>
  </r>
  <r>
    <s v="FN10306"/>
    <s v="CUST1306"/>
    <x v="4"/>
    <d v="2025-04-06T00:00:00"/>
    <s v="Commercial"/>
    <x v="0"/>
    <x v="3"/>
    <s v="Dealer"/>
    <s v="P005"/>
    <s v="Casement Windows"/>
    <s v="Windows"/>
    <n v="3"/>
    <n v="28758"/>
    <n v="0.1"/>
    <n v="86274"/>
    <n v="8627.4"/>
    <n v="77646.600000000006"/>
    <n v="2025"/>
    <x v="5"/>
    <n v="4"/>
    <x v="1"/>
    <s v="Converted"/>
    <s v="Paid"/>
    <s v="Completed"/>
    <n v="7"/>
    <n v="11"/>
    <n v="5"/>
    <s v="Apr"/>
    <s v="Q2"/>
    <n v="2025"/>
  </r>
  <r>
    <s v="FN10310"/>
    <s v="CUST1310"/>
    <x v="4"/>
    <d v="2025-01-29T00:00:00"/>
    <s v="Residential"/>
    <x v="1"/>
    <x v="2"/>
    <s v="Facebook"/>
    <s v="P005"/>
    <s v="Casement Windows"/>
    <s v="Windows"/>
    <n v="3"/>
    <n v="26274"/>
    <n v="0.1"/>
    <n v="78822"/>
    <n v="7882.2"/>
    <n v="70939.8"/>
    <n v="2025"/>
    <x v="10"/>
    <n v="1"/>
    <x v="2"/>
    <s v="New"/>
    <s v="Paid"/>
    <s v="Completed"/>
    <n v="4"/>
    <n v="9"/>
    <n v="5"/>
    <s v="Jan"/>
    <s v="Q1"/>
    <n v="2025"/>
  </r>
  <r>
    <s v="FN10311"/>
    <s v="CUST1311"/>
    <x v="4"/>
    <d v="2025-02-20T00:00:00"/>
    <s v="Residential"/>
    <x v="0"/>
    <x v="2"/>
    <s v="Dealer"/>
    <s v="P005"/>
    <s v="Casement Windows"/>
    <s v="Windows"/>
    <n v="5"/>
    <n v="29777"/>
    <n v="0.1"/>
    <n v="148885"/>
    <n v="14888.5"/>
    <n v="133996.5"/>
    <n v="2025"/>
    <x v="2"/>
    <n v="2"/>
    <x v="2"/>
    <s v="Negotiation"/>
    <s v="Paid"/>
    <s v="Completed"/>
    <n v="2"/>
    <n v="27"/>
    <n v="5"/>
    <s v="Feb"/>
    <s v="Q1"/>
    <n v="2025"/>
  </r>
  <r>
    <s v="FN10312"/>
    <s v="CUST1312"/>
    <x v="0"/>
    <d v="2025-03-16T00:00:00"/>
    <s v="Residential"/>
    <x v="3"/>
    <x v="6"/>
    <s v="Website"/>
    <s v="P008"/>
    <s v="Soundproof Windows"/>
    <s v="Windows"/>
    <n v="5"/>
    <n v="50779"/>
    <n v="0"/>
    <n v="253895"/>
    <n v="0"/>
    <n v="253895"/>
    <n v="2025"/>
    <x v="9"/>
    <n v="3"/>
    <x v="2"/>
    <s v="Converted"/>
    <s v="Paid"/>
    <s v="Scheduled"/>
    <n v="7"/>
    <n v="8"/>
    <n v="4"/>
    <s v="Mar"/>
    <s v="Q1"/>
    <n v="2025"/>
  </r>
  <r>
    <s v="FN10313"/>
    <s v="CUST1313"/>
    <x v="0"/>
    <d v="2025-08-02T00:00:00"/>
    <s v="Commercial"/>
    <x v="0"/>
    <x v="2"/>
    <s v="Google Ads"/>
    <s v="P008"/>
    <s v="Soundproof Windows"/>
    <s v="Windows"/>
    <n v="2"/>
    <n v="51213"/>
    <n v="0.15"/>
    <n v="102426"/>
    <n v="15363.9"/>
    <n v="87062.1"/>
    <n v="2025"/>
    <x v="8"/>
    <n v="8"/>
    <x v="3"/>
    <s v="Site Visit"/>
    <s v="Paid"/>
    <s v="In Progress"/>
    <n v="4"/>
    <n v="12"/>
    <n v="5"/>
    <s v="Aug"/>
    <s v="Q3"/>
    <n v="2025"/>
  </r>
  <r>
    <s v="FN10315"/>
    <s v="CUST1315"/>
    <x v="6"/>
    <d v="2025-05-30T00:00:00"/>
    <s v="Commercial"/>
    <x v="1"/>
    <x v="3"/>
    <s v="Referral"/>
    <s v="P003"/>
    <s v="Sliding Doors"/>
    <s v="Doors"/>
    <n v="4"/>
    <n v="31777"/>
    <n v="0.05"/>
    <n v="127108"/>
    <n v="6355.4"/>
    <n v="120752.6"/>
    <n v="2025"/>
    <x v="4"/>
    <n v="5"/>
    <x v="1"/>
    <s v="New"/>
    <s v="Pending"/>
    <s v="In Progress"/>
    <n v="7"/>
    <n v="20"/>
    <n v="5"/>
    <s v="May"/>
    <s v="Q2"/>
    <n v="2025"/>
  </r>
  <r>
    <s v="FN10318"/>
    <s v="CUST1318"/>
    <x v="5"/>
    <d v="2025-02-27T00:00:00"/>
    <s v="Commercial"/>
    <x v="0"/>
    <x v="3"/>
    <s v="Referral"/>
    <s v="P004"/>
    <s v="French Doors"/>
    <s v="Doors"/>
    <n v="2"/>
    <n v="42786"/>
    <n v="0"/>
    <n v="85572"/>
    <n v="0"/>
    <n v="85572"/>
    <n v="2025"/>
    <x v="2"/>
    <n v="2"/>
    <x v="2"/>
    <s v="Converted"/>
    <s v="Paid"/>
    <s v="Delayed"/>
    <n v="1"/>
    <n v="12"/>
    <n v="2"/>
    <s v="Feb"/>
    <s v="Q1"/>
    <n v="2025"/>
  </r>
  <r>
    <s v="FN10321"/>
    <s v="CUST1321"/>
    <x v="2"/>
    <d v="2025-05-08T00:00:00"/>
    <s v="Commercial"/>
    <x v="2"/>
    <x v="7"/>
    <s v="Website"/>
    <s v="P002"/>
    <s v="Aluminium Windows"/>
    <s v="Windows"/>
    <n v="6"/>
    <n v="21514"/>
    <n v="0"/>
    <n v="129084"/>
    <n v="0"/>
    <n v="129084"/>
    <n v="2025"/>
    <x v="4"/>
    <n v="5"/>
    <x v="1"/>
    <s v="Converted"/>
    <s v="Pending"/>
    <s v="Completed"/>
    <n v="7"/>
    <n v="14"/>
    <n v="4"/>
    <s v="May"/>
    <s v="Q2"/>
    <n v="2025"/>
  </r>
  <r>
    <s v="FN10327"/>
    <s v="CUST1327"/>
    <x v="7"/>
    <d v="2025-12-15T00:00:00"/>
    <s v="Residential"/>
    <x v="3"/>
    <x v="0"/>
    <s v="Walk-in"/>
    <s v="P007"/>
    <s v="uPVC Doors"/>
    <s v="Doors"/>
    <n v="5"/>
    <n v="28313"/>
    <n v="0.1"/>
    <n v="141565"/>
    <n v="14156.5"/>
    <n v="127408.5"/>
    <n v="2025"/>
    <x v="7"/>
    <n v="12"/>
    <x v="0"/>
    <s v="New"/>
    <s v="Paid"/>
    <s v="Completed"/>
    <n v="5"/>
    <n v="17"/>
    <n v="5"/>
    <s v="Dec"/>
    <s v="Q4"/>
    <n v="2025"/>
  </r>
  <r>
    <s v="FN10328"/>
    <s v="CUST1328"/>
    <x v="2"/>
    <d v="2025-10-03T00:00:00"/>
    <s v="Residential"/>
    <x v="1"/>
    <x v="7"/>
    <s v="Walk-in"/>
    <s v="P002"/>
    <s v="Aluminium Windows"/>
    <s v="Windows"/>
    <n v="4"/>
    <n v="23926"/>
    <n v="0"/>
    <n v="95704"/>
    <n v="0"/>
    <n v="95704"/>
    <n v="2025"/>
    <x v="0"/>
    <n v="10"/>
    <x v="0"/>
    <s v="Converted"/>
    <s v="Paid"/>
    <s v="Scheduled"/>
    <n v="5"/>
    <n v="27"/>
    <n v="4"/>
    <s v="Oct"/>
    <s v="Q4"/>
    <n v="2025"/>
  </r>
  <r>
    <s v="FN10329"/>
    <s v="CUST1329"/>
    <x v="0"/>
    <d v="2025-11-11T00:00:00"/>
    <s v="Residential"/>
    <x v="1"/>
    <x v="2"/>
    <s v="Website"/>
    <s v="P008"/>
    <s v="Soundproof Windows"/>
    <s v="Windows"/>
    <n v="2"/>
    <n v="52629"/>
    <n v="0.1"/>
    <n v="105258"/>
    <n v="10525.8"/>
    <n v="94732.2"/>
    <n v="2025"/>
    <x v="3"/>
    <n v="11"/>
    <x v="0"/>
    <s v="Site Visit"/>
    <s v="Paid"/>
    <s v="Scheduled"/>
    <n v="7"/>
    <n v="21"/>
    <n v="5"/>
    <s v="Nov"/>
    <s v="Q4"/>
    <n v="2025"/>
  </r>
  <r>
    <s v="FN10331"/>
    <s v="CUST1331"/>
    <x v="2"/>
    <d v="2025-12-30T00:00:00"/>
    <s v="Residential"/>
    <x v="1"/>
    <x v="2"/>
    <s v="Website"/>
    <s v="P002"/>
    <s v="Aluminium Windows"/>
    <s v="Windows"/>
    <n v="5"/>
    <n v="20076"/>
    <n v="0"/>
    <n v="100380"/>
    <n v="0"/>
    <n v="100380"/>
    <n v="2025"/>
    <x v="7"/>
    <n v="12"/>
    <x v="0"/>
    <s v="New"/>
    <s v="Paid"/>
    <s v="Completed"/>
    <n v="2"/>
    <n v="20"/>
    <n v="3"/>
    <s v="Dec"/>
    <s v="Q4"/>
    <n v="2025"/>
  </r>
  <r>
    <s v="FN10334"/>
    <s v="CUST1334"/>
    <x v="3"/>
    <d v="2025-08-15T00:00:00"/>
    <s v="Residential"/>
    <x v="0"/>
    <x v="7"/>
    <s v="Facebook"/>
    <s v="P001"/>
    <s v="uPVC Windows"/>
    <s v="Windows"/>
    <n v="3"/>
    <n v="17752"/>
    <n v="0"/>
    <n v="53256"/>
    <n v="0"/>
    <n v="53256"/>
    <n v="2025"/>
    <x v="8"/>
    <n v="8"/>
    <x v="3"/>
    <s v="Negotiation"/>
    <s v="Paid"/>
    <s v="In Progress"/>
    <n v="6"/>
    <n v="6"/>
    <n v="5"/>
    <s v="Aug"/>
    <s v="Q3"/>
    <n v="2025"/>
  </r>
  <r>
    <s v="FN10335"/>
    <s v="CUST1335"/>
    <x v="4"/>
    <d v="2025-09-01T00:00:00"/>
    <s v="Commercial"/>
    <x v="0"/>
    <x v="4"/>
    <s v="Referral"/>
    <s v="P005"/>
    <s v="Casement Windows"/>
    <s v="Windows"/>
    <n v="4"/>
    <n v="25677"/>
    <n v="0.15"/>
    <n v="102708"/>
    <n v="15406.2"/>
    <n v="87301.8"/>
    <n v="2025"/>
    <x v="6"/>
    <n v="9"/>
    <x v="3"/>
    <s v="Site Visit"/>
    <s v="Paid"/>
    <s v="Completed"/>
    <n v="4"/>
    <n v="18"/>
    <n v="5"/>
    <s v="Sep"/>
    <s v="Q3"/>
    <n v="2025"/>
  </r>
  <r>
    <s v="FN10336"/>
    <s v="CUST1336"/>
    <x v="5"/>
    <d v="2025-12-21T00:00:00"/>
    <s v="Residential"/>
    <x v="0"/>
    <x v="5"/>
    <s v="Website"/>
    <s v="P004"/>
    <s v="French Doors"/>
    <s v="Doors"/>
    <n v="6"/>
    <n v="38628"/>
    <n v="0.05"/>
    <n v="231768"/>
    <n v="11588.4"/>
    <n v="220179.6"/>
    <n v="2025"/>
    <x v="7"/>
    <n v="12"/>
    <x v="0"/>
    <s v="Lost"/>
    <s v="Paid"/>
    <s v="Completed"/>
    <n v="4"/>
    <n v="10"/>
    <n v="2"/>
    <s v="Dec"/>
    <s v="Q4"/>
    <n v="2025"/>
  </r>
  <r>
    <s v="FN10337"/>
    <s v="CUST1337"/>
    <x v="3"/>
    <d v="2025-07-03T00:00:00"/>
    <s v="Residential"/>
    <x v="1"/>
    <x v="7"/>
    <s v="Google Ads"/>
    <s v="P001"/>
    <s v="uPVC Windows"/>
    <s v="Windows"/>
    <n v="4"/>
    <n v="17428"/>
    <n v="0.05"/>
    <n v="69712"/>
    <n v="3485.6"/>
    <n v="66226.399999999994"/>
    <n v="2025"/>
    <x v="11"/>
    <n v="7"/>
    <x v="3"/>
    <s v="Converted"/>
    <s v="Paid"/>
    <s v="Completed"/>
    <n v="1"/>
    <n v="30"/>
    <n v="5"/>
    <s v="Jul"/>
    <s v="Q3"/>
    <n v="2025"/>
  </r>
  <r>
    <s v="FN10340"/>
    <s v="CUST1340"/>
    <x v="1"/>
    <d v="2025-10-21T00:00:00"/>
    <s v="Commercial"/>
    <x v="3"/>
    <x v="0"/>
    <s v="Website"/>
    <s v="P006"/>
    <s v="Bi-Fold Doors"/>
    <s v="Doors"/>
    <n v="5"/>
    <n v="56276"/>
    <n v="0.05"/>
    <n v="281380"/>
    <n v="14069"/>
    <n v="267311"/>
    <n v="2025"/>
    <x v="0"/>
    <n v="10"/>
    <x v="0"/>
    <s v="Converted"/>
    <s v="Paid"/>
    <s v="Completed"/>
    <n v="1"/>
    <n v="15"/>
    <n v="4"/>
    <s v="Oct"/>
    <s v="Q4"/>
    <n v="2025"/>
  </r>
  <r>
    <s v="FN10341"/>
    <s v="CUST1341"/>
    <x v="7"/>
    <d v="2025-04-01T00:00:00"/>
    <s v="Commercial"/>
    <x v="3"/>
    <x v="3"/>
    <s v="Facebook"/>
    <s v="P007"/>
    <s v="uPVC Doors"/>
    <s v="Doors"/>
    <n v="2"/>
    <n v="27793"/>
    <n v="0.15"/>
    <n v="55586"/>
    <n v="8337.9"/>
    <n v="47248.1"/>
    <n v="2025"/>
    <x v="5"/>
    <n v="4"/>
    <x v="1"/>
    <s v="Converted"/>
    <s v="Paid"/>
    <s v="Delayed"/>
    <n v="7"/>
    <n v="15"/>
    <n v="5"/>
    <s v="Apr"/>
    <s v="Q2"/>
    <n v="2025"/>
  </r>
  <r>
    <s v="FN10342"/>
    <s v="CUST1342"/>
    <x v="4"/>
    <d v="2025-08-25T00:00:00"/>
    <s v="Residential"/>
    <x v="2"/>
    <x v="4"/>
    <s v="Walk-in"/>
    <s v="P005"/>
    <s v="Casement Windows"/>
    <s v="Windows"/>
    <n v="5"/>
    <n v="26415"/>
    <n v="0"/>
    <n v="132075"/>
    <n v="0"/>
    <n v="132075"/>
    <n v="2025"/>
    <x v="8"/>
    <n v="8"/>
    <x v="3"/>
    <s v="Converted"/>
    <s v="Paid"/>
    <s v="Scheduled"/>
    <n v="4"/>
    <n v="23"/>
    <n v="5"/>
    <s v="Aug"/>
    <s v="Q3"/>
    <n v="2025"/>
  </r>
  <r>
    <s v="FN10343"/>
    <s v="CUST1343"/>
    <x v="5"/>
    <d v="2025-04-18T00:00:00"/>
    <s v="Commercial"/>
    <x v="3"/>
    <x v="3"/>
    <s v="Walk-in"/>
    <s v="P004"/>
    <s v="French Doors"/>
    <s v="Doors"/>
    <n v="4"/>
    <n v="46967"/>
    <n v="0.15"/>
    <n v="187868"/>
    <n v="28180.2"/>
    <n v="159687.79999999999"/>
    <n v="2025"/>
    <x v="5"/>
    <n v="4"/>
    <x v="1"/>
    <s v="Converted"/>
    <s v="Paid"/>
    <s v="Scheduled"/>
    <n v="7"/>
    <n v="30"/>
    <n v="4"/>
    <s v="Apr"/>
    <s v="Q2"/>
    <n v="2025"/>
  </r>
  <r>
    <s v="FN10345"/>
    <s v="CUST1345"/>
    <x v="1"/>
    <d v="2025-06-15T00:00:00"/>
    <s v="Residential"/>
    <x v="1"/>
    <x v="6"/>
    <s v="Dealer"/>
    <s v="P006"/>
    <s v="Bi-Fold Doors"/>
    <s v="Doors"/>
    <n v="3"/>
    <n v="54323"/>
    <n v="0.05"/>
    <n v="162969"/>
    <n v="8148.45"/>
    <n v="154820.54999999999"/>
    <n v="2025"/>
    <x v="1"/>
    <n v="6"/>
    <x v="1"/>
    <s v="Converted"/>
    <s v="Paid"/>
    <s v="Completed"/>
    <n v="6"/>
    <n v="17"/>
    <n v="5"/>
    <s v="Jun"/>
    <s v="Q2"/>
    <n v="2025"/>
  </r>
  <r>
    <s v="FN10346"/>
    <s v="CUST1346"/>
    <x v="1"/>
    <d v="2025-01-14T00:00:00"/>
    <s v="Residential"/>
    <x v="1"/>
    <x v="7"/>
    <s v="Walk-in"/>
    <s v="P006"/>
    <s v="Bi-Fold Doors"/>
    <s v="Doors"/>
    <n v="5"/>
    <n v="57426"/>
    <n v="0.15"/>
    <n v="287130"/>
    <n v="43069.5"/>
    <n v="244060.5"/>
    <n v="2025"/>
    <x v="10"/>
    <n v="1"/>
    <x v="2"/>
    <s v="Converted"/>
    <s v="Paid"/>
    <s v="In Progress"/>
    <n v="2"/>
    <n v="21"/>
    <n v="4"/>
    <s v="Jan"/>
    <s v="Q1"/>
    <n v="2025"/>
  </r>
  <r>
    <s v="FN10350"/>
    <s v="CUST1350"/>
    <x v="1"/>
    <d v="2025-12-12T00:00:00"/>
    <s v="Residential"/>
    <x v="2"/>
    <x v="3"/>
    <s v="Instagram"/>
    <s v="P006"/>
    <s v="Bi-Fold Doors"/>
    <s v="Doors"/>
    <n v="4"/>
    <n v="56626"/>
    <n v="0.1"/>
    <n v="226504"/>
    <n v="22650.400000000001"/>
    <n v="203853.6"/>
    <n v="2025"/>
    <x v="7"/>
    <n v="12"/>
    <x v="0"/>
    <s v="Site Visit"/>
    <s v="Pending"/>
    <s v="Completed"/>
    <n v="7"/>
    <n v="28"/>
    <n v="4"/>
    <s v="Dec"/>
    <s v="Q4"/>
    <n v="2025"/>
  </r>
  <r>
    <s v="FN10351"/>
    <s v="CUST1351"/>
    <x v="7"/>
    <d v="2025-05-05T00:00:00"/>
    <s v="Commercial"/>
    <x v="0"/>
    <x v="5"/>
    <s v="Walk-in"/>
    <s v="P007"/>
    <s v="uPVC Doors"/>
    <s v="Doors"/>
    <n v="1"/>
    <n v="29142"/>
    <n v="0"/>
    <n v="29142"/>
    <n v="0"/>
    <n v="29142"/>
    <n v="2025"/>
    <x v="4"/>
    <n v="5"/>
    <x v="1"/>
    <s v="Site Visit"/>
    <s v="Paid"/>
    <s v="Completed"/>
    <n v="6"/>
    <n v="17"/>
    <n v="5"/>
    <s v="May"/>
    <s v="Q2"/>
    <n v="2025"/>
  </r>
  <r>
    <s v="FN10352"/>
    <s v="CUST1352"/>
    <x v="1"/>
    <d v="2025-05-02T00:00:00"/>
    <s v="Residential"/>
    <x v="2"/>
    <x v="3"/>
    <s v="Google Ads"/>
    <s v="P006"/>
    <s v="Bi-Fold Doors"/>
    <s v="Doors"/>
    <n v="5"/>
    <n v="55430"/>
    <n v="0.05"/>
    <n v="277150"/>
    <n v="13857.5"/>
    <n v="263292.5"/>
    <n v="2025"/>
    <x v="4"/>
    <n v="5"/>
    <x v="1"/>
    <s v="New"/>
    <s v="Paid"/>
    <s v="Completed"/>
    <n v="5"/>
    <n v="14"/>
    <n v="4"/>
    <s v="May"/>
    <s v="Q2"/>
    <n v="2025"/>
  </r>
  <r>
    <s v="FN10353"/>
    <s v="CUST1353"/>
    <x v="0"/>
    <d v="2025-11-19T00:00:00"/>
    <s v="Commercial"/>
    <x v="3"/>
    <x v="2"/>
    <s v="Website"/>
    <s v="P008"/>
    <s v="Soundproof Windows"/>
    <s v="Windows"/>
    <n v="2"/>
    <n v="43276"/>
    <n v="0.2"/>
    <n v="86552"/>
    <n v="17310.400000000001"/>
    <n v="69241.600000000006"/>
    <n v="2025"/>
    <x v="3"/>
    <n v="11"/>
    <x v="0"/>
    <s v="Site Visit"/>
    <s v="Paid"/>
    <s v="In Progress"/>
    <n v="6"/>
    <n v="7"/>
    <n v="5"/>
    <s v="Nov"/>
    <s v="Q4"/>
    <n v="2025"/>
  </r>
  <r>
    <s v="FN10355"/>
    <s v="CUST1355"/>
    <x v="4"/>
    <d v="2025-06-24T00:00:00"/>
    <s v="Commercial"/>
    <x v="1"/>
    <x v="2"/>
    <s v="Google Ads"/>
    <s v="P005"/>
    <s v="Casement Windows"/>
    <s v="Windows"/>
    <n v="5"/>
    <n v="25396"/>
    <n v="0.1"/>
    <n v="126980"/>
    <n v="12698"/>
    <n v="114282"/>
    <n v="2025"/>
    <x v="1"/>
    <n v="6"/>
    <x v="1"/>
    <s v="Converted"/>
    <s v="Paid"/>
    <s v="Scheduled"/>
    <n v="6"/>
    <n v="14"/>
    <n v="2"/>
    <s v="Jun"/>
    <s v="Q2"/>
    <n v="2025"/>
  </r>
  <r>
    <s v="FN10356"/>
    <s v="CUST1356"/>
    <x v="2"/>
    <d v="2025-04-04T00:00:00"/>
    <s v="Commercial"/>
    <x v="0"/>
    <x v="5"/>
    <s v="Facebook"/>
    <s v="P002"/>
    <s v="Aluminium Windows"/>
    <s v="Windows"/>
    <n v="1"/>
    <n v="20088"/>
    <n v="0"/>
    <n v="20088"/>
    <n v="0"/>
    <n v="20088"/>
    <n v="2025"/>
    <x v="5"/>
    <n v="4"/>
    <x v="1"/>
    <s v="Converted"/>
    <s v="Pending"/>
    <s v="Delayed"/>
    <n v="7"/>
    <n v="27"/>
    <n v="3"/>
    <s v="Apr"/>
    <s v="Q2"/>
    <n v="2025"/>
  </r>
  <r>
    <s v="FN10358"/>
    <s v="CUST1358"/>
    <x v="7"/>
    <d v="2025-08-27T00:00:00"/>
    <s v="Residential"/>
    <x v="2"/>
    <x v="5"/>
    <s v="Google Ads"/>
    <s v="P007"/>
    <s v="uPVC Doors"/>
    <s v="Doors"/>
    <n v="2"/>
    <n v="31412"/>
    <n v="0.05"/>
    <n v="62824"/>
    <n v="3141.2"/>
    <n v="59682.8"/>
    <n v="2025"/>
    <x v="8"/>
    <n v="8"/>
    <x v="3"/>
    <s v="Converted"/>
    <s v="Partially Paid"/>
    <s v="Completed"/>
    <n v="7"/>
    <n v="19"/>
    <n v="4"/>
    <s v="Aug"/>
    <s v="Q3"/>
    <n v="2025"/>
  </r>
  <r>
    <s v="FN10359"/>
    <s v="CUST1359"/>
    <x v="7"/>
    <d v="2025-01-12T00:00:00"/>
    <s v="Residential"/>
    <x v="1"/>
    <x v="3"/>
    <s v="Referral"/>
    <s v="P007"/>
    <s v="uPVC Doors"/>
    <s v="Doors"/>
    <n v="5"/>
    <n v="33242"/>
    <n v="0.15"/>
    <n v="166210"/>
    <n v="24931.5"/>
    <n v="141278.5"/>
    <n v="2025"/>
    <x v="10"/>
    <n v="1"/>
    <x v="2"/>
    <s v="New"/>
    <s v="Pending"/>
    <s v="Completed"/>
    <n v="4"/>
    <n v="26"/>
    <n v="4"/>
    <s v="Jan"/>
    <s v="Q1"/>
    <n v="2025"/>
  </r>
  <r>
    <s v="FN10362"/>
    <s v="CUST1362"/>
    <x v="1"/>
    <d v="2025-02-14T00:00:00"/>
    <s v="Commercial"/>
    <x v="2"/>
    <x v="4"/>
    <s v="Referral"/>
    <s v="P006"/>
    <s v="Bi-Fold Doors"/>
    <s v="Doors"/>
    <n v="3"/>
    <n v="59086"/>
    <n v="0.05"/>
    <n v="177258"/>
    <n v="8862.9"/>
    <n v="168395.1"/>
    <n v="2025"/>
    <x v="2"/>
    <n v="2"/>
    <x v="2"/>
    <s v="New"/>
    <s v="Pending"/>
    <s v="Completed"/>
    <n v="7"/>
    <n v="23"/>
    <n v="4"/>
    <s v="Feb"/>
    <s v="Q1"/>
    <n v="2025"/>
  </r>
  <r>
    <s v="FN10363"/>
    <s v="CUST1363"/>
    <x v="1"/>
    <d v="2025-04-26T00:00:00"/>
    <s v="Commercial"/>
    <x v="0"/>
    <x v="4"/>
    <s v="Referral"/>
    <s v="P006"/>
    <s v="Bi-Fold Doors"/>
    <s v="Doors"/>
    <n v="1"/>
    <n v="51440"/>
    <n v="0.1"/>
    <n v="51440"/>
    <n v="5144"/>
    <n v="46296"/>
    <n v="2025"/>
    <x v="5"/>
    <n v="4"/>
    <x v="1"/>
    <s v="Negotiation"/>
    <s v="Paid"/>
    <s v="Completed"/>
    <n v="4"/>
    <n v="16"/>
    <n v="2"/>
    <s v="Apr"/>
    <s v="Q2"/>
    <n v="2025"/>
  </r>
  <r>
    <s v="FN10364"/>
    <s v="CUST1364"/>
    <x v="2"/>
    <d v="2025-05-17T00:00:00"/>
    <s v="Commercial"/>
    <x v="2"/>
    <x v="7"/>
    <s v="Facebook"/>
    <s v="P002"/>
    <s v="Aluminium Windows"/>
    <s v="Windows"/>
    <n v="2"/>
    <n v="22575"/>
    <n v="0"/>
    <n v="45150"/>
    <n v="0"/>
    <n v="45150"/>
    <n v="2025"/>
    <x v="4"/>
    <n v="5"/>
    <x v="1"/>
    <s v="Negotiation"/>
    <s v="Pending"/>
    <s v="Completed"/>
    <n v="5"/>
    <n v="6"/>
    <n v="4"/>
    <s v="May"/>
    <s v="Q2"/>
    <n v="2025"/>
  </r>
  <r>
    <s v="FN10369"/>
    <s v="CUST1369"/>
    <x v="3"/>
    <d v="2025-08-30T00:00:00"/>
    <s v="Commercial"/>
    <x v="0"/>
    <x v="6"/>
    <s v="Google Ads"/>
    <s v="P001"/>
    <s v="uPVC Windows"/>
    <s v="Windows"/>
    <n v="3"/>
    <n v="16710"/>
    <n v="0.2"/>
    <n v="50130"/>
    <n v="10026"/>
    <n v="40104"/>
    <n v="2025"/>
    <x v="8"/>
    <n v="8"/>
    <x v="3"/>
    <s v="Converted"/>
    <s v="Paid"/>
    <s v="Completed"/>
    <n v="2"/>
    <n v="29"/>
    <n v="3"/>
    <s v="Aug"/>
    <s v="Q3"/>
    <n v="2025"/>
  </r>
  <r>
    <s v="FN10376"/>
    <s v="CUST1376"/>
    <x v="3"/>
    <d v="2025-07-31T00:00:00"/>
    <s v="Residential"/>
    <x v="2"/>
    <x v="3"/>
    <s v="Facebook"/>
    <s v="P001"/>
    <s v="uPVC Windows"/>
    <s v="Windows"/>
    <n v="4"/>
    <n v="16634"/>
    <n v="0"/>
    <n v="66536"/>
    <n v="0"/>
    <n v="66536"/>
    <n v="2025"/>
    <x v="11"/>
    <n v="7"/>
    <x v="3"/>
    <s v="Negotiation"/>
    <s v="Pending"/>
    <s v="Delayed"/>
    <n v="6"/>
    <n v="7"/>
    <n v="5"/>
    <s v="Jul"/>
    <s v="Q3"/>
    <n v="2025"/>
  </r>
  <r>
    <s v="FN10379"/>
    <s v="CUST1379"/>
    <x v="6"/>
    <d v="2025-07-30T00:00:00"/>
    <s v="Residential"/>
    <x v="0"/>
    <x v="7"/>
    <s v="Facebook"/>
    <s v="P003"/>
    <s v="Sliding Doors"/>
    <s v="Doors"/>
    <n v="4"/>
    <n v="36321"/>
    <n v="0.1"/>
    <n v="145284"/>
    <n v="14528.4"/>
    <n v="130755.6"/>
    <n v="2025"/>
    <x v="11"/>
    <n v="7"/>
    <x v="3"/>
    <s v="Converted"/>
    <s v="Partially Paid"/>
    <s v="In Progress"/>
    <n v="7"/>
    <n v="23"/>
    <n v="4"/>
    <s v="Jul"/>
    <s v="Q3"/>
    <n v="2025"/>
  </r>
  <r>
    <s v="FN10382"/>
    <s v="CUST1382"/>
    <x v="4"/>
    <d v="2025-03-29T00:00:00"/>
    <s v="Commercial"/>
    <x v="1"/>
    <x v="2"/>
    <s v="Dealer"/>
    <s v="P005"/>
    <s v="Casement Windows"/>
    <s v="Windows"/>
    <n v="1"/>
    <n v="29738"/>
    <n v="0.15"/>
    <n v="29738"/>
    <n v="4460.7"/>
    <n v="25277.3"/>
    <n v="2025"/>
    <x v="9"/>
    <n v="3"/>
    <x v="2"/>
    <s v="Negotiation"/>
    <s v="Pending"/>
    <s v="In Progress"/>
    <n v="2"/>
    <n v="15"/>
    <n v="4"/>
    <s v="Mar"/>
    <s v="Q1"/>
    <n v="2025"/>
  </r>
  <r>
    <s v="FN10383"/>
    <s v="CUST1383"/>
    <x v="3"/>
    <d v="2025-08-03T00:00:00"/>
    <s v="Residential"/>
    <x v="1"/>
    <x v="5"/>
    <s v="Website"/>
    <s v="P001"/>
    <s v="uPVC Windows"/>
    <s v="Windows"/>
    <n v="5"/>
    <n v="16742"/>
    <n v="0.1"/>
    <n v="83710"/>
    <n v="8371"/>
    <n v="75339"/>
    <n v="2025"/>
    <x v="8"/>
    <n v="8"/>
    <x v="3"/>
    <s v="Converted"/>
    <s v="Paid"/>
    <s v="Completed"/>
    <n v="6"/>
    <n v="7"/>
    <n v="5"/>
    <s v="Aug"/>
    <s v="Q3"/>
    <n v="2025"/>
  </r>
  <r>
    <s v="FN10384"/>
    <s v="CUST1384"/>
    <x v="3"/>
    <d v="2025-07-27T00:00:00"/>
    <s v="Residential"/>
    <x v="2"/>
    <x v="3"/>
    <s v="Website"/>
    <s v="P001"/>
    <s v="uPVC Windows"/>
    <s v="Windows"/>
    <n v="6"/>
    <n v="17796"/>
    <n v="0.05"/>
    <n v="106776"/>
    <n v="5338.8"/>
    <n v="101437.2"/>
    <n v="2025"/>
    <x v="11"/>
    <n v="7"/>
    <x v="3"/>
    <s v="Converted"/>
    <s v="Paid"/>
    <s v="In Progress"/>
    <n v="6"/>
    <n v="24"/>
    <n v="4"/>
    <s v="Jul"/>
    <s v="Q3"/>
    <n v="2025"/>
  </r>
  <r>
    <s v="FN10385"/>
    <s v="CUST1385"/>
    <x v="0"/>
    <d v="2025-03-28T00:00:00"/>
    <s v="Commercial"/>
    <x v="1"/>
    <x v="6"/>
    <s v="Google Ads"/>
    <s v="P008"/>
    <s v="Soundproof Windows"/>
    <s v="Windows"/>
    <n v="1"/>
    <n v="54486"/>
    <n v="0.1"/>
    <n v="54486"/>
    <n v="5448.6"/>
    <n v="49037.4"/>
    <n v="2025"/>
    <x v="9"/>
    <n v="3"/>
    <x v="2"/>
    <s v="Converted"/>
    <s v="Paid"/>
    <s v="In Progress"/>
    <n v="6"/>
    <n v="24"/>
    <n v="4"/>
    <s v="Mar"/>
    <s v="Q1"/>
    <n v="2025"/>
  </r>
  <r>
    <s v="FN10386"/>
    <s v="CUST1386"/>
    <x v="5"/>
    <d v="2025-07-07T00:00:00"/>
    <s v="Commercial"/>
    <x v="0"/>
    <x v="2"/>
    <s v="Website"/>
    <s v="P004"/>
    <s v="French Doors"/>
    <s v="Doors"/>
    <n v="2"/>
    <n v="38199"/>
    <n v="0.1"/>
    <n v="76398"/>
    <n v="7639.8"/>
    <n v="68758.2"/>
    <n v="2025"/>
    <x v="11"/>
    <n v="7"/>
    <x v="3"/>
    <s v="Converted"/>
    <s v="Paid"/>
    <s v="Completed"/>
    <n v="5"/>
    <n v="28"/>
    <n v="5"/>
    <s v="Jul"/>
    <s v="Q3"/>
    <n v="2025"/>
  </r>
  <r>
    <s v="FN10387"/>
    <s v="CUST1387"/>
    <x v="2"/>
    <d v="2025-09-01T00:00:00"/>
    <s v="Residential"/>
    <x v="0"/>
    <x v="2"/>
    <s v="Referral"/>
    <s v="P002"/>
    <s v="Aluminium Windows"/>
    <s v="Windows"/>
    <n v="3"/>
    <n v="23531"/>
    <n v="0.1"/>
    <n v="70593"/>
    <n v="7059.3"/>
    <n v="63533.7"/>
    <n v="2025"/>
    <x v="6"/>
    <n v="9"/>
    <x v="3"/>
    <s v="New"/>
    <s v="Paid"/>
    <s v="Scheduled"/>
    <n v="7"/>
    <n v="8"/>
    <n v="5"/>
    <s v="Sep"/>
    <s v="Q3"/>
    <n v="2025"/>
  </r>
  <r>
    <s v="FN10388"/>
    <s v="CUST1388"/>
    <x v="7"/>
    <d v="2025-10-31T00:00:00"/>
    <s v="Commercial"/>
    <x v="2"/>
    <x v="0"/>
    <s v="Dealer"/>
    <s v="P007"/>
    <s v="uPVC Doors"/>
    <s v="Doors"/>
    <n v="6"/>
    <n v="32663"/>
    <n v="0.1"/>
    <n v="195978"/>
    <n v="19597.8"/>
    <n v="176380.2"/>
    <n v="2025"/>
    <x v="0"/>
    <n v="10"/>
    <x v="0"/>
    <s v="Converted"/>
    <s v="Partially Paid"/>
    <s v="Scheduled"/>
    <n v="2"/>
    <n v="30"/>
    <n v="3"/>
    <s v="Oct"/>
    <s v="Q4"/>
    <n v="2025"/>
  </r>
  <r>
    <s v="FN10390"/>
    <s v="CUST1390"/>
    <x v="2"/>
    <d v="2025-02-02T00:00:00"/>
    <s v="Residential"/>
    <x v="3"/>
    <x v="6"/>
    <s v="Dealer"/>
    <s v="P002"/>
    <s v="Aluminium Windows"/>
    <s v="Windows"/>
    <n v="2"/>
    <n v="24253"/>
    <n v="0.2"/>
    <n v="48506"/>
    <n v="9701.2000000000007"/>
    <n v="38804.800000000003"/>
    <n v="2025"/>
    <x v="2"/>
    <n v="2"/>
    <x v="2"/>
    <s v="Converted"/>
    <s v="Pending"/>
    <s v="Completed"/>
    <n v="6"/>
    <n v="25"/>
    <n v="4"/>
    <s v="Feb"/>
    <s v="Q1"/>
    <n v="2025"/>
  </r>
  <r>
    <s v="FN10392"/>
    <s v="CUST1392"/>
    <x v="5"/>
    <d v="2025-04-08T00:00:00"/>
    <s v="Residential"/>
    <x v="2"/>
    <x v="5"/>
    <s v="Website"/>
    <s v="P004"/>
    <s v="French Doors"/>
    <s v="Doors"/>
    <n v="5"/>
    <n v="38515"/>
    <n v="0.05"/>
    <n v="192575"/>
    <n v="9628.75"/>
    <n v="182946.25"/>
    <n v="2025"/>
    <x v="5"/>
    <n v="4"/>
    <x v="1"/>
    <s v="Converted"/>
    <s v="Paid"/>
    <s v="Completed"/>
    <n v="7"/>
    <n v="18"/>
    <n v="3"/>
    <s v="Apr"/>
    <s v="Q2"/>
    <n v="2025"/>
  </r>
  <r>
    <s v="FN10393"/>
    <s v="CUST1393"/>
    <x v="0"/>
    <d v="2025-08-08T00:00:00"/>
    <s v="Residential"/>
    <x v="2"/>
    <x v="3"/>
    <s v="Walk-in"/>
    <s v="P008"/>
    <s v="Soundproof Windows"/>
    <s v="Windows"/>
    <n v="3"/>
    <n v="50707"/>
    <n v="0.1"/>
    <n v="152121"/>
    <n v="15212.1"/>
    <n v="136908.9"/>
    <n v="2025"/>
    <x v="8"/>
    <n v="8"/>
    <x v="3"/>
    <s v="Negotiation"/>
    <s v="Partially Paid"/>
    <s v="Completed"/>
    <n v="2"/>
    <n v="11"/>
    <n v="4"/>
    <s v="Aug"/>
    <s v="Q3"/>
    <n v="2025"/>
  </r>
  <r>
    <s v="FN10397"/>
    <s v="CUST1397"/>
    <x v="3"/>
    <d v="2025-10-06T00:00:00"/>
    <s v="Residential"/>
    <x v="0"/>
    <x v="0"/>
    <s v="Walk-in"/>
    <s v="P001"/>
    <s v="uPVC Windows"/>
    <s v="Windows"/>
    <n v="3"/>
    <n v="19308"/>
    <n v="0.1"/>
    <n v="57924"/>
    <n v="5792.4"/>
    <n v="52131.6"/>
    <n v="2025"/>
    <x v="0"/>
    <n v="10"/>
    <x v="0"/>
    <s v="Converted"/>
    <s v="Paid"/>
    <s v="In Progress"/>
    <n v="7"/>
    <n v="29"/>
    <n v="2"/>
    <s v="Oct"/>
    <s v="Q4"/>
    <n v="2025"/>
  </r>
  <r>
    <s v="FN10399"/>
    <s v="CUST1399"/>
    <x v="3"/>
    <d v="2025-05-28T00:00:00"/>
    <s v="Commercial"/>
    <x v="3"/>
    <x v="4"/>
    <s v="Google Ads"/>
    <s v="P001"/>
    <s v="uPVC Windows"/>
    <s v="Windows"/>
    <n v="6"/>
    <n v="18978"/>
    <n v="0.05"/>
    <n v="113868"/>
    <n v="5693.4"/>
    <n v="108174.6"/>
    <n v="2025"/>
    <x v="4"/>
    <n v="5"/>
    <x v="1"/>
    <s v="Converted"/>
    <s v="Partially Paid"/>
    <s v="Completed"/>
    <n v="7"/>
    <n v="29"/>
    <n v="5"/>
    <s v="May"/>
    <s v="Q2"/>
    <n v="2025"/>
  </r>
  <r>
    <s v="FN10404"/>
    <s v="CUST1404"/>
    <x v="4"/>
    <d v="2025-11-09T00:00:00"/>
    <s v="Residential"/>
    <x v="3"/>
    <x v="3"/>
    <s v="Facebook"/>
    <s v="P005"/>
    <s v="Casement Windows"/>
    <s v="Windows"/>
    <n v="3"/>
    <n v="27106"/>
    <n v="0.05"/>
    <n v="81318"/>
    <n v="4065.9"/>
    <n v="77252.100000000006"/>
    <n v="2025"/>
    <x v="3"/>
    <n v="11"/>
    <x v="0"/>
    <s v="Converted"/>
    <s v="Partially Paid"/>
    <s v="In Progress"/>
    <n v="6"/>
    <n v="13"/>
    <n v="5"/>
    <s v="Nov"/>
    <s v="Q4"/>
    <n v="2025"/>
  </r>
  <r>
    <s v="FN10405"/>
    <s v="CUST1405"/>
    <x v="3"/>
    <d v="2025-10-14T00:00:00"/>
    <s v="Residential"/>
    <x v="1"/>
    <x v="7"/>
    <s v="Referral"/>
    <s v="P001"/>
    <s v="uPVC Windows"/>
    <s v="Windows"/>
    <n v="5"/>
    <n v="19507"/>
    <n v="0.1"/>
    <n v="97535"/>
    <n v="9753.5"/>
    <n v="87781.5"/>
    <n v="2025"/>
    <x v="0"/>
    <n v="10"/>
    <x v="0"/>
    <s v="Converted"/>
    <s v="Paid"/>
    <s v="In Progress"/>
    <n v="1"/>
    <n v="6"/>
    <n v="4"/>
    <s v="Oct"/>
    <s v="Q4"/>
    <n v="2025"/>
  </r>
  <r>
    <s v="FN10407"/>
    <s v="CUST1407"/>
    <x v="0"/>
    <d v="2025-08-29T00:00:00"/>
    <s v="Commercial"/>
    <x v="1"/>
    <x v="2"/>
    <s v="Website"/>
    <s v="P008"/>
    <s v="Soundproof Windows"/>
    <s v="Windows"/>
    <n v="4"/>
    <n v="48088"/>
    <n v="0.1"/>
    <n v="192352"/>
    <n v="19235.2"/>
    <n v="173116.79999999999"/>
    <n v="2025"/>
    <x v="8"/>
    <n v="8"/>
    <x v="3"/>
    <s v="Converted"/>
    <s v="Pending"/>
    <s v="In Progress"/>
    <n v="1"/>
    <n v="20"/>
    <n v="4"/>
    <s v="Aug"/>
    <s v="Q3"/>
    <n v="2025"/>
  </r>
  <r>
    <s v="FN10408"/>
    <s v="CUST1408"/>
    <x v="6"/>
    <d v="2025-07-30T00:00:00"/>
    <s v="Residential"/>
    <x v="0"/>
    <x v="1"/>
    <s v="Website"/>
    <s v="P003"/>
    <s v="Sliding Doors"/>
    <s v="Doors"/>
    <n v="1"/>
    <n v="38061"/>
    <n v="0.15"/>
    <n v="38061"/>
    <n v="5709.15"/>
    <n v="32351.85"/>
    <n v="2025"/>
    <x v="11"/>
    <n v="7"/>
    <x v="3"/>
    <s v="Converted"/>
    <s v="Paid"/>
    <s v="Completed"/>
    <n v="2"/>
    <n v="29"/>
    <n v="4"/>
    <s v="Jul"/>
    <s v="Q3"/>
    <n v="2025"/>
  </r>
  <r>
    <s v="FN10409"/>
    <s v="CUST1409"/>
    <x v="1"/>
    <d v="2025-01-21T00:00:00"/>
    <s v="Residential"/>
    <x v="3"/>
    <x v="7"/>
    <s v="Google Ads"/>
    <s v="P006"/>
    <s v="Bi-Fold Doors"/>
    <s v="Doors"/>
    <n v="2"/>
    <n v="50426"/>
    <n v="0.15"/>
    <n v="100852"/>
    <n v="15127.8"/>
    <n v="85724.2"/>
    <n v="2025"/>
    <x v="10"/>
    <n v="1"/>
    <x v="2"/>
    <s v="Site Visit"/>
    <s v="Partially Paid"/>
    <s v="In Progress"/>
    <n v="4"/>
    <n v="13"/>
    <n v="5"/>
    <s v="Jan"/>
    <s v="Q1"/>
    <n v="2025"/>
  </r>
  <r>
    <s v="FN10411"/>
    <s v="CUST1411"/>
    <x v="4"/>
    <d v="2025-01-13T00:00:00"/>
    <s v="Residential"/>
    <x v="1"/>
    <x v="3"/>
    <s v="Facebook"/>
    <s v="P005"/>
    <s v="Casement Windows"/>
    <s v="Windows"/>
    <n v="4"/>
    <n v="29880"/>
    <n v="0.1"/>
    <n v="119520"/>
    <n v="11952"/>
    <n v="107568"/>
    <n v="2025"/>
    <x v="10"/>
    <n v="1"/>
    <x v="2"/>
    <s v="Converted"/>
    <s v="Paid"/>
    <s v="Scheduled"/>
    <n v="5"/>
    <n v="15"/>
    <n v="3"/>
    <s v="Jan"/>
    <s v="Q1"/>
    <n v="2025"/>
  </r>
  <r>
    <s v="FN10412"/>
    <s v="CUST1412"/>
    <x v="4"/>
    <d v="2025-10-25T00:00:00"/>
    <s v="Residential"/>
    <x v="0"/>
    <x v="2"/>
    <s v="Website"/>
    <s v="P005"/>
    <s v="Casement Windows"/>
    <s v="Windows"/>
    <n v="5"/>
    <n v="24761"/>
    <n v="0.05"/>
    <n v="123805"/>
    <n v="6190.25"/>
    <n v="117614.75"/>
    <n v="2025"/>
    <x v="0"/>
    <n v="10"/>
    <x v="0"/>
    <s v="Site Visit"/>
    <s v="Paid"/>
    <s v="Completed"/>
    <n v="7"/>
    <n v="11"/>
    <n v="5"/>
    <s v="Oct"/>
    <s v="Q4"/>
    <n v="2025"/>
  </r>
  <r>
    <s v="FN10413"/>
    <s v="CUST1413"/>
    <x v="7"/>
    <d v="2025-12-07T00:00:00"/>
    <s v="Residential"/>
    <x v="3"/>
    <x v="6"/>
    <s v="Instagram"/>
    <s v="P007"/>
    <s v="uPVC Doors"/>
    <s v="Doors"/>
    <n v="5"/>
    <n v="29275"/>
    <n v="0.15"/>
    <n v="146375"/>
    <n v="21956.25"/>
    <n v="124418.75"/>
    <n v="2025"/>
    <x v="7"/>
    <n v="12"/>
    <x v="0"/>
    <s v="Lost"/>
    <s v="Paid"/>
    <s v="Completed"/>
    <n v="2"/>
    <n v="29"/>
    <n v="5"/>
    <s v="Dec"/>
    <s v="Q4"/>
    <n v="2025"/>
  </r>
  <r>
    <s v="FN10414"/>
    <s v="CUST1414"/>
    <x v="7"/>
    <d v="2025-08-08T00:00:00"/>
    <s v="Residential"/>
    <x v="0"/>
    <x v="1"/>
    <s v="Dealer"/>
    <s v="P007"/>
    <s v="uPVC Doors"/>
    <s v="Doors"/>
    <n v="2"/>
    <n v="32445"/>
    <n v="0.05"/>
    <n v="64890"/>
    <n v="3244.5"/>
    <n v="61645.5"/>
    <n v="2025"/>
    <x v="8"/>
    <n v="8"/>
    <x v="3"/>
    <s v="Converted"/>
    <s v="Partially Paid"/>
    <s v="Completed"/>
    <n v="4"/>
    <n v="23"/>
    <n v="4"/>
    <s v="Aug"/>
    <s v="Q3"/>
    <n v="2025"/>
  </r>
  <r>
    <s v="FN10417"/>
    <s v="CUST1417"/>
    <x v="0"/>
    <d v="2025-08-03T00:00:00"/>
    <s v="Residential"/>
    <x v="2"/>
    <x v="3"/>
    <s v="Facebook"/>
    <s v="P008"/>
    <s v="Soundproof Windows"/>
    <s v="Windows"/>
    <n v="6"/>
    <n v="51390"/>
    <n v="0.05"/>
    <n v="308340"/>
    <n v="15417"/>
    <n v="292923"/>
    <n v="2025"/>
    <x v="8"/>
    <n v="8"/>
    <x v="3"/>
    <s v="Negotiation"/>
    <s v="Paid"/>
    <s v="Completed"/>
    <n v="3"/>
    <n v="15"/>
    <n v="5"/>
    <s v="Aug"/>
    <s v="Q3"/>
    <n v="2025"/>
  </r>
  <r>
    <s v="FN10420"/>
    <s v="CUST1420"/>
    <x v="6"/>
    <d v="2025-10-25T00:00:00"/>
    <s v="Residential"/>
    <x v="1"/>
    <x v="1"/>
    <s v="Instagram"/>
    <s v="P003"/>
    <s v="Sliding Doors"/>
    <s v="Doors"/>
    <n v="5"/>
    <n v="37065"/>
    <n v="0.05"/>
    <n v="185325"/>
    <n v="9266.25"/>
    <n v="176058.75"/>
    <n v="2025"/>
    <x v="0"/>
    <n v="10"/>
    <x v="0"/>
    <s v="Converted"/>
    <s v="Partially Paid"/>
    <s v="Delayed"/>
    <n v="3"/>
    <n v="24"/>
    <n v="5"/>
    <s v="Oct"/>
    <s v="Q4"/>
    <n v="2025"/>
  </r>
  <r>
    <s v="FN10421"/>
    <s v="CUST1421"/>
    <x v="6"/>
    <d v="2025-04-26T00:00:00"/>
    <s v="Residential"/>
    <x v="3"/>
    <x v="6"/>
    <s v="Referral"/>
    <s v="P003"/>
    <s v="Sliding Doors"/>
    <s v="Doors"/>
    <n v="6"/>
    <n v="37371"/>
    <n v="0.1"/>
    <n v="224226"/>
    <n v="22422.6"/>
    <n v="201803.4"/>
    <n v="2025"/>
    <x v="5"/>
    <n v="4"/>
    <x v="1"/>
    <s v="Site Visit"/>
    <s v="Paid"/>
    <s v="Completed"/>
    <n v="6"/>
    <n v="22"/>
    <n v="2"/>
    <s v="Apr"/>
    <s v="Q2"/>
    <n v="2025"/>
  </r>
  <r>
    <s v="FN10422"/>
    <s v="CUST1422"/>
    <x v="1"/>
    <d v="2025-01-27T00:00:00"/>
    <s v="Residential"/>
    <x v="2"/>
    <x v="7"/>
    <s v="Walk-in"/>
    <s v="P006"/>
    <s v="Bi-Fold Doors"/>
    <s v="Doors"/>
    <n v="2"/>
    <n v="58181"/>
    <n v="0.05"/>
    <n v="116362"/>
    <n v="5818.1"/>
    <n v="110543.9"/>
    <n v="2025"/>
    <x v="10"/>
    <n v="1"/>
    <x v="2"/>
    <s v="Converted"/>
    <s v="Partially Paid"/>
    <s v="Completed"/>
    <n v="6"/>
    <n v="24"/>
    <n v="4"/>
    <s v="Jan"/>
    <s v="Q1"/>
    <n v="2025"/>
  </r>
  <r>
    <s v="FN10423"/>
    <s v="CUST1423"/>
    <x v="3"/>
    <d v="2025-02-03T00:00:00"/>
    <s v="Residential"/>
    <x v="0"/>
    <x v="5"/>
    <s v="Dealer"/>
    <s v="P001"/>
    <s v="uPVC Windows"/>
    <s v="Windows"/>
    <n v="6"/>
    <n v="17350"/>
    <n v="0.1"/>
    <n v="104100"/>
    <n v="10410"/>
    <n v="93690"/>
    <n v="2025"/>
    <x v="2"/>
    <n v="2"/>
    <x v="2"/>
    <s v="Converted"/>
    <s v="Paid"/>
    <s v="Completed"/>
    <n v="1"/>
    <n v="10"/>
    <n v="2"/>
    <s v="Feb"/>
    <s v="Q1"/>
    <n v="2025"/>
  </r>
  <r>
    <s v="FN10424"/>
    <s v="CUST1424"/>
    <x v="6"/>
    <d v="2025-11-06T00:00:00"/>
    <s v="Commercial"/>
    <x v="2"/>
    <x v="4"/>
    <s v="Referral"/>
    <s v="P003"/>
    <s v="Sliding Doors"/>
    <s v="Doors"/>
    <n v="2"/>
    <n v="32141"/>
    <n v="0.1"/>
    <n v="64282"/>
    <n v="6428.2"/>
    <n v="57853.8"/>
    <n v="2025"/>
    <x v="3"/>
    <n v="11"/>
    <x v="0"/>
    <s v="Converted"/>
    <s v="Partially Paid"/>
    <s v="Completed"/>
    <n v="2"/>
    <n v="30"/>
    <n v="5"/>
    <s v="Nov"/>
    <s v="Q4"/>
    <n v="2025"/>
  </r>
  <r>
    <s v="FN10425"/>
    <s v="CUST1425"/>
    <x v="6"/>
    <d v="2025-09-30T00:00:00"/>
    <s v="Residential"/>
    <x v="0"/>
    <x v="0"/>
    <s v="Dealer"/>
    <s v="P003"/>
    <s v="Sliding Doors"/>
    <s v="Doors"/>
    <n v="2"/>
    <n v="31903"/>
    <n v="0.2"/>
    <n v="63806"/>
    <n v="12761.2"/>
    <n v="51044.800000000003"/>
    <n v="2025"/>
    <x v="6"/>
    <n v="9"/>
    <x v="3"/>
    <s v="Converted"/>
    <s v="Pending"/>
    <s v="Completed"/>
    <n v="3"/>
    <n v="13"/>
    <n v="4"/>
    <s v="Sep"/>
    <s v="Q3"/>
    <n v="2025"/>
  </r>
  <r>
    <s v="FN10426"/>
    <s v="CUST1426"/>
    <x v="3"/>
    <d v="2025-07-16T00:00:00"/>
    <s v="Commercial"/>
    <x v="2"/>
    <x v="3"/>
    <s v="Dealer"/>
    <s v="P001"/>
    <s v="uPVC Windows"/>
    <s v="Windows"/>
    <n v="2"/>
    <n v="17188"/>
    <n v="0"/>
    <n v="34376"/>
    <n v="0"/>
    <n v="34376"/>
    <n v="2025"/>
    <x v="11"/>
    <n v="7"/>
    <x v="3"/>
    <s v="Site Visit"/>
    <s v="Paid"/>
    <s v="Completed"/>
    <n v="6"/>
    <n v="5"/>
    <n v="5"/>
    <s v="Jul"/>
    <s v="Q3"/>
    <n v="2025"/>
  </r>
  <r>
    <s v="FN10430"/>
    <s v="CUST1430"/>
    <x v="5"/>
    <d v="2025-12-29T00:00:00"/>
    <s v="Residential"/>
    <x v="3"/>
    <x v="2"/>
    <s v="Google Ads"/>
    <s v="P004"/>
    <s v="French Doors"/>
    <s v="Doors"/>
    <n v="5"/>
    <n v="45216"/>
    <n v="0.05"/>
    <n v="226080"/>
    <n v="11304"/>
    <n v="214776"/>
    <n v="2025"/>
    <x v="7"/>
    <n v="12"/>
    <x v="0"/>
    <s v="Converted"/>
    <s v="Pending"/>
    <s v="Completed"/>
    <n v="3"/>
    <n v="10"/>
    <n v="5"/>
    <s v="Dec"/>
    <s v="Q4"/>
    <n v="2025"/>
  </r>
  <r>
    <s v="FN10431"/>
    <s v="CUST1431"/>
    <x v="1"/>
    <d v="2025-08-29T00:00:00"/>
    <s v="Residential"/>
    <x v="2"/>
    <x v="7"/>
    <s v="Website"/>
    <s v="P006"/>
    <s v="Bi-Fold Doors"/>
    <s v="Doors"/>
    <n v="1"/>
    <n v="52711"/>
    <n v="0"/>
    <n v="52711"/>
    <n v="0"/>
    <n v="52711"/>
    <n v="2025"/>
    <x v="8"/>
    <n v="8"/>
    <x v="3"/>
    <s v="Converted"/>
    <s v="Paid"/>
    <s v="Completed"/>
    <n v="6"/>
    <n v="15"/>
    <n v="5"/>
    <s v="Aug"/>
    <s v="Q3"/>
    <n v="2025"/>
  </r>
  <r>
    <s v="FN10432"/>
    <s v="CUST1432"/>
    <x v="4"/>
    <d v="2025-02-11T00:00:00"/>
    <s v="Commercial"/>
    <x v="3"/>
    <x v="5"/>
    <s v="Website"/>
    <s v="P005"/>
    <s v="Casement Windows"/>
    <s v="Windows"/>
    <n v="2"/>
    <n v="28859"/>
    <n v="0.05"/>
    <n v="57718"/>
    <n v="2885.9"/>
    <n v="54832.1"/>
    <n v="2025"/>
    <x v="2"/>
    <n v="2"/>
    <x v="2"/>
    <s v="Converted"/>
    <s v="Partially Paid"/>
    <s v="Scheduled"/>
    <n v="6"/>
    <n v="7"/>
    <n v="5"/>
    <s v="Feb"/>
    <s v="Q1"/>
    <n v="2025"/>
  </r>
  <r>
    <s v="FN10436"/>
    <s v="CUST1436"/>
    <x v="5"/>
    <d v="2025-05-09T00:00:00"/>
    <s v="Residential"/>
    <x v="0"/>
    <x v="0"/>
    <s v="Walk-in"/>
    <s v="P004"/>
    <s v="French Doors"/>
    <s v="Doors"/>
    <n v="6"/>
    <n v="39041"/>
    <n v="0.05"/>
    <n v="234246"/>
    <n v="11712.3"/>
    <n v="222533.7"/>
    <n v="2025"/>
    <x v="4"/>
    <n v="5"/>
    <x v="1"/>
    <s v="Converted"/>
    <s v="Pending"/>
    <s v="Completed"/>
    <n v="7"/>
    <n v="16"/>
    <n v="5"/>
    <s v="May"/>
    <s v="Q2"/>
    <n v="2025"/>
  </r>
  <r>
    <s v="FN10438"/>
    <s v="CUST1438"/>
    <x v="6"/>
    <d v="2025-12-09T00:00:00"/>
    <s v="Residential"/>
    <x v="3"/>
    <x v="1"/>
    <s v="Google Ads"/>
    <s v="P003"/>
    <s v="Sliding Doors"/>
    <s v="Doors"/>
    <n v="5"/>
    <n v="32777"/>
    <n v="0.2"/>
    <n v="163885"/>
    <n v="32777"/>
    <n v="131108"/>
    <n v="2025"/>
    <x v="7"/>
    <n v="12"/>
    <x v="0"/>
    <s v="Negotiation"/>
    <s v="Pending"/>
    <s v="Completed"/>
    <n v="1"/>
    <n v="18"/>
    <n v="5"/>
    <s v="Dec"/>
    <s v="Q4"/>
    <n v="2025"/>
  </r>
  <r>
    <s v="FN10440"/>
    <s v="CUST1440"/>
    <x v="0"/>
    <d v="2025-07-27T00:00:00"/>
    <s v="Commercial"/>
    <x v="1"/>
    <x v="3"/>
    <s v="Dealer"/>
    <s v="P008"/>
    <s v="Soundproof Windows"/>
    <s v="Windows"/>
    <n v="1"/>
    <n v="49512"/>
    <n v="0.15"/>
    <n v="49512"/>
    <n v="7426.8"/>
    <n v="42085.2"/>
    <n v="2025"/>
    <x v="11"/>
    <n v="7"/>
    <x v="3"/>
    <s v="Converted"/>
    <s v="Paid"/>
    <s v="Completed"/>
    <n v="2"/>
    <n v="11"/>
    <n v="4"/>
    <s v="Jul"/>
    <s v="Q3"/>
    <n v="2025"/>
  </r>
  <r>
    <s v="FN10442"/>
    <s v="CUST1442"/>
    <x v="0"/>
    <d v="2025-04-07T00:00:00"/>
    <s v="Commercial"/>
    <x v="1"/>
    <x v="2"/>
    <s v="Dealer"/>
    <s v="P008"/>
    <s v="Soundproof Windows"/>
    <s v="Windows"/>
    <n v="1"/>
    <n v="45979"/>
    <n v="0.15"/>
    <n v="45979"/>
    <n v="6896.85"/>
    <n v="39082.15"/>
    <n v="2025"/>
    <x v="5"/>
    <n v="4"/>
    <x v="1"/>
    <s v="New"/>
    <s v="Paid"/>
    <s v="Completed"/>
    <n v="2"/>
    <n v="20"/>
    <n v="4"/>
    <s v="Apr"/>
    <s v="Q2"/>
    <n v="2025"/>
  </r>
  <r>
    <s v="FN10443"/>
    <s v="CUST1443"/>
    <x v="2"/>
    <d v="2025-07-22T00:00:00"/>
    <s v="Commercial"/>
    <x v="0"/>
    <x v="4"/>
    <s v="Website"/>
    <s v="P002"/>
    <s v="Aluminium Windows"/>
    <s v="Windows"/>
    <n v="5"/>
    <n v="22806"/>
    <n v="0.15"/>
    <n v="114030"/>
    <n v="17104.5"/>
    <n v="96925.5"/>
    <n v="2025"/>
    <x v="11"/>
    <n v="7"/>
    <x v="3"/>
    <s v="Converted"/>
    <s v="Paid"/>
    <s v="Scheduled"/>
    <n v="2"/>
    <n v="21"/>
    <n v="4"/>
    <s v="Jul"/>
    <s v="Q3"/>
    <n v="2025"/>
  </r>
  <r>
    <s v="FN10444"/>
    <s v="CUST1444"/>
    <x v="3"/>
    <d v="2025-06-06T00:00:00"/>
    <s v="Commercial"/>
    <x v="3"/>
    <x v="1"/>
    <s v="Referral"/>
    <s v="P001"/>
    <s v="uPVC Windows"/>
    <s v="Windows"/>
    <n v="4"/>
    <n v="20484"/>
    <n v="0.1"/>
    <n v="81936"/>
    <n v="8193.6"/>
    <n v="73742.399999999994"/>
    <n v="2025"/>
    <x v="1"/>
    <n v="6"/>
    <x v="1"/>
    <s v="Converted"/>
    <s v="Paid"/>
    <s v="Completed"/>
    <n v="5"/>
    <n v="27"/>
    <n v="5"/>
    <s v="Jun"/>
    <s v="Q2"/>
    <n v="2025"/>
  </r>
  <r>
    <s v="FN10445"/>
    <s v="CUST1445"/>
    <x v="5"/>
    <d v="2025-01-26T00:00:00"/>
    <s v="Residential"/>
    <x v="0"/>
    <x v="3"/>
    <s v="Walk-in"/>
    <s v="P004"/>
    <s v="French Doors"/>
    <s v="Doors"/>
    <n v="1"/>
    <n v="45059"/>
    <n v="0.05"/>
    <n v="45059"/>
    <n v="2252.9499999999998"/>
    <n v="42806.05"/>
    <n v="2025"/>
    <x v="10"/>
    <n v="1"/>
    <x v="2"/>
    <s v="Converted"/>
    <s v="Pending"/>
    <s v="In Progress"/>
    <n v="4"/>
    <n v="5"/>
    <n v="4"/>
    <s v="Jan"/>
    <s v="Q1"/>
    <n v="2025"/>
  </r>
  <r>
    <s v="FN10451"/>
    <s v="CUST1451"/>
    <x v="0"/>
    <d v="2025-12-22T00:00:00"/>
    <s v="Commercial"/>
    <x v="2"/>
    <x v="4"/>
    <s v="Facebook"/>
    <s v="P008"/>
    <s v="Soundproof Windows"/>
    <s v="Windows"/>
    <n v="6"/>
    <n v="44497"/>
    <n v="0.15"/>
    <n v="266982"/>
    <n v="40047.300000000003"/>
    <n v="226934.7"/>
    <n v="2025"/>
    <x v="7"/>
    <n v="12"/>
    <x v="0"/>
    <s v="Converted"/>
    <s v="Paid"/>
    <s v="In Progress"/>
    <n v="4"/>
    <n v="25"/>
    <n v="2"/>
    <s v="Dec"/>
    <s v="Q4"/>
    <n v="2025"/>
  </r>
  <r>
    <s v="FN10452"/>
    <s v="CUST1452"/>
    <x v="0"/>
    <d v="2025-05-15T00:00:00"/>
    <s v="Residential"/>
    <x v="0"/>
    <x v="4"/>
    <s v="Instagram"/>
    <s v="P008"/>
    <s v="Soundproof Windows"/>
    <s v="Windows"/>
    <n v="3"/>
    <n v="51364"/>
    <n v="0.05"/>
    <n v="154092"/>
    <n v="7704.6"/>
    <n v="146387.4"/>
    <n v="2025"/>
    <x v="4"/>
    <n v="5"/>
    <x v="1"/>
    <s v="Site Visit"/>
    <s v="Paid"/>
    <s v="Completed"/>
    <n v="6"/>
    <n v="21"/>
    <n v="4"/>
    <s v="May"/>
    <s v="Q2"/>
    <n v="2025"/>
  </r>
  <r>
    <s v="FN10455"/>
    <s v="CUST1455"/>
    <x v="2"/>
    <d v="2025-07-16T00:00:00"/>
    <s v="Commercial"/>
    <x v="2"/>
    <x v="3"/>
    <s v="Walk-in"/>
    <s v="P002"/>
    <s v="Aluminium Windows"/>
    <s v="Windows"/>
    <n v="3"/>
    <n v="24874"/>
    <n v="0.15"/>
    <n v="74622"/>
    <n v="11193.3"/>
    <n v="63428.7"/>
    <n v="2025"/>
    <x v="11"/>
    <n v="7"/>
    <x v="3"/>
    <s v="Site Visit"/>
    <s v="Partially Paid"/>
    <s v="In Progress"/>
    <n v="1"/>
    <n v="6"/>
    <n v="4"/>
    <s v="Jul"/>
    <s v="Q3"/>
    <n v="2025"/>
  </r>
  <r>
    <s v="FN10457"/>
    <s v="CUST1457"/>
    <x v="5"/>
    <d v="2025-11-02T00:00:00"/>
    <s v="Residential"/>
    <x v="1"/>
    <x v="6"/>
    <s v="Google Ads"/>
    <s v="P004"/>
    <s v="French Doors"/>
    <s v="Doors"/>
    <n v="6"/>
    <n v="47595"/>
    <n v="0.2"/>
    <n v="285570"/>
    <n v="57114"/>
    <n v="228456"/>
    <n v="2025"/>
    <x v="3"/>
    <n v="11"/>
    <x v="0"/>
    <s v="Site Visit"/>
    <s v="Paid"/>
    <s v="Completed"/>
    <n v="4"/>
    <n v="14"/>
    <n v="5"/>
    <s v="Nov"/>
    <s v="Q4"/>
    <n v="2025"/>
  </r>
  <r>
    <s v="FN10459"/>
    <s v="CUST1459"/>
    <x v="3"/>
    <d v="2025-09-01T00:00:00"/>
    <s v="Commercial"/>
    <x v="1"/>
    <x v="2"/>
    <s v="Google Ads"/>
    <s v="P001"/>
    <s v="uPVC Windows"/>
    <s v="Windows"/>
    <n v="4"/>
    <n v="17279"/>
    <n v="0.05"/>
    <n v="69116"/>
    <n v="3455.8"/>
    <n v="65660.2"/>
    <n v="2025"/>
    <x v="6"/>
    <n v="9"/>
    <x v="3"/>
    <s v="Converted"/>
    <s v="Paid"/>
    <s v="Completed"/>
    <n v="2"/>
    <n v="29"/>
    <n v="2"/>
    <s v="Sep"/>
    <s v="Q3"/>
    <n v="2025"/>
  </r>
  <r>
    <s v="FN10464"/>
    <s v="CUST1464"/>
    <x v="2"/>
    <d v="2025-03-18T00:00:00"/>
    <s v="Residential"/>
    <x v="3"/>
    <x v="5"/>
    <s v="Google Ads"/>
    <s v="P002"/>
    <s v="Aluminium Windows"/>
    <s v="Windows"/>
    <n v="5"/>
    <n v="23117"/>
    <n v="0"/>
    <n v="115585"/>
    <n v="0"/>
    <n v="115585"/>
    <n v="2025"/>
    <x v="9"/>
    <n v="3"/>
    <x v="2"/>
    <s v="Negotiation"/>
    <s v="Paid"/>
    <s v="In Progress"/>
    <n v="4"/>
    <n v="13"/>
    <n v="4"/>
    <s v="Mar"/>
    <s v="Q1"/>
    <n v="2025"/>
  </r>
  <r>
    <s v="FN10465"/>
    <s v="CUST1465"/>
    <x v="4"/>
    <d v="2025-01-05T00:00:00"/>
    <s v="Residential"/>
    <x v="2"/>
    <x v="5"/>
    <s v="Instagram"/>
    <s v="P005"/>
    <s v="Casement Windows"/>
    <s v="Windows"/>
    <n v="3"/>
    <n v="29245"/>
    <n v="0.1"/>
    <n v="87735"/>
    <n v="8773.5"/>
    <n v="78961.5"/>
    <n v="2025"/>
    <x v="10"/>
    <n v="1"/>
    <x v="2"/>
    <s v="Converted"/>
    <s v="Pending"/>
    <s v="Scheduled"/>
    <n v="3"/>
    <n v="19"/>
    <n v="3"/>
    <s v="Jan"/>
    <s v="Q1"/>
    <n v="2025"/>
  </r>
  <r>
    <s v="FN10467"/>
    <s v="CUST1467"/>
    <x v="6"/>
    <d v="2025-05-24T00:00:00"/>
    <s v="Commercial"/>
    <x v="3"/>
    <x v="4"/>
    <s v="Google Ads"/>
    <s v="P003"/>
    <s v="Sliding Doors"/>
    <s v="Doors"/>
    <n v="6"/>
    <n v="38229"/>
    <n v="0.05"/>
    <n v="229374"/>
    <n v="11468.7"/>
    <n v="217905.3"/>
    <n v="2025"/>
    <x v="4"/>
    <n v="5"/>
    <x v="1"/>
    <s v="Converted"/>
    <s v="Paid"/>
    <s v="Scheduled"/>
    <n v="1"/>
    <n v="13"/>
    <n v="4"/>
    <s v="May"/>
    <s v="Q2"/>
    <n v="2025"/>
  </r>
  <r>
    <s v="FN10468"/>
    <s v="CUST1468"/>
    <x v="1"/>
    <d v="2025-09-01T00:00:00"/>
    <s v="Commercial"/>
    <x v="2"/>
    <x v="5"/>
    <s v="Walk-in"/>
    <s v="P006"/>
    <s v="Bi-Fold Doors"/>
    <s v="Doors"/>
    <n v="6"/>
    <n v="58041"/>
    <n v="0"/>
    <n v="348246"/>
    <n v="0"/>
    <n v="348246"/>
    <n v="2025"/>
    <x v="6"/>
    <n v="9"/>
    <x v="3"/>
    <s v="Converted"/>
    <s v="Paid"/>
    <s v="Scheduled"/>
    <n v="3"/>
    <n v="14"/>
    <n v="4"/>
    <s v="Sep"/>
    <s v="Q3"/>
    <n v="2025"/>
  </r>
  <r>
    <s v="FN10472"/>
    <s v="CUST1472"/>
    <x v="0"/>
    <d v="2025-08-06T00:00:00"/>
    <s v="Residential"/>
    <x v="2"/>
    <x v="5"/>
    <s v="Dealer"/>
    <s v="P008"/>
    <s v="Soundproof Windows"/>
    <s v="Windows"/>
    <n v="1"/>
    <n v="47999"/>
    <n v="0"/>
    <n v="47999"/>
    <n v="0"/>
    <n v="47999"/>
    <n v="2025"/>
    <x v="8"/>
    <n v="8"/>
    <x v="3"/>
    <s v="Converted"/>
    <s v="Paid"/>
    <s v="In Progress"/>
    <n v="6"/>
    <n v="8"/>
    <n v="5"/>
    <s v="Aug"/>
    <s v="Q3"/>
    <n v="2025"/>
  </r>
  <r>
    <s v="FN10473"/>
    <s v="CUST1473"/>
    <x v="3"/>
    <d v="2025-11-20T00:00:00"/>
    <s v="Commercial"/>
    <x v="3"/>
    <x v="7"/>
    <s v="Instagram"/>
    <s v="P001"/>
    <s v="uPVC Windows"/>
    <s v="Windows"/>
    <n v="2"/>
    <n v="20402"/>
    <n v="0"/>
    <n v="40804"/>
    <n v="0"/>
    <n v="40804"/>
    <n v="2025"/>
    <x v="3"/>
    <n v="11"/>
    <x v="0"/>
    <s v="Site Visit"/>
    <s v="Paid"/>
    <s v="Completed"/>
    <n v="7"/>
    <n v="28"/>
    <n v="4"/>
    <s v="Nov"/>
    <s v="Q4"/>
    <n v="2025"/>
  </r>
  <r>
    <s v="FN10475"/>
    <s v="CUST1475"/>
    <x v="7"/>
    <d v="2025-05-04T00:00:00"/>
    <s v="Commercial"/>
    <x v="3"/>
    <x v="2"/>
    <s v="Instagram"/>
    <s v="P007"/>
    <s v="uPVC Doors"/>
    <s v="Doors"/>
    <n v="1"/>
    <n v="27833"/>
    <n v="0"/>
    <n v="27833"/>
    <n v="0"/>
    <n v="27833"/>
    <n v="2025"/>
    <x v="4"/>
    <n v="5"/>
    <x v="1"/>
    <s v="Converted"/>
    <s v="Paid"/>
    <s v="Completed"/>
    <n v="7"/>
    <n v="20"/>
    <n v="4"/>
    <s v="May"/>
    <s v="Q2"/>
    <n v="2025"/>
  </r>
  <r>
    <s v="FN10476"/>
    <s v="CUST1476"/>
    <x v="7"/>
    <d v="2025-05-25T00:00:00"/>
    <s v="Residential"/>
    <x v="0"/>
    <x v="0"/>
    <s v="Dealer"/>
    <s v="P007"/>
    <s v="uPVC Doors"/>
    <s v="Doors"/>
    <n v="2"/>
    <n v="33295"/>
    <n v="0.1"/>
    <n v="66590"/>
    <n v="6659"/>
    <n v="59931"/>
    <n v="2025"/>
    <x v="4"/>
    <n v="5"/>
    <x v="1"/>
    <s v="Negotiation"/>
    <s v="Partially Paid"/>
    <s v="Delayed"/>
    <n v="4"/>
    <n v="11"/>
    <n v="1"/>
    <s v="May"/>
    <s v="Q2"/>
    <n v="2025"/>
  </r>
  <r>
    <s v="FN10478"/>
    <s v="CUST1478"/>
    <x v="3"/>
    <d v="2025-04-02T00:00:00"/>
    <s v="Residential"/>
    <x v="1"/>
    <x v="6"/>
    <s v="Website"/>
    <s v="P001"/>
    <s v="uPVC Windows"/>
    <s v="Windows"/>
    <n v="1"/>
    <n v="17468"/>
    <n v="0.05"/>
    <n v="17468"/>
    <n v="873.4"/>
    <n v="16594.599999999999"/>
    <n v="2025"/>
    <x v="5"/>
    <n v="4"/>
    <x v="1"/>
    <s v="Site Visit"/>
    <s v="Paid"/>
    <s v="Completed"/>
    <n v="5"/>
    <n v="12"/>
    <n v="4"/>
    <s v="Apr"/>
    <s v="Q2"/>
    <n v="2025"/>
  </r>
  <r>
    <s v="FN10479"/>
    <s v="CUST1479"/>
    <x v="7"/>
    <d v="2025-05-27T00:00:00"/>
    <s v="Commercial"/>
    <x v="1"/>
    <x v="0"/>
    <s v="Walk-in"/>
    <s v="P007"/>
    <s v="uPVC Doors"/>
    <s v="Doors"/>
    <n v="4"/>
    <n v="31214"/>
    <n v="0"/>
    <n v="124856"/>
    <n v="0"/>
    <n v="124856"/>
    <n v="2025"/>
    <x v="4"/>
    <n v="5"/>
    <x v="1"/>
    <s v="Site Visit"/>
    <s v="Pending"/>
    <s v="Completed"/>
    <n v="7"/>
    <n v="10"/>
    <n v="5"/>
    <s v="May"/>
    <s v="Q2"/>
    <n v="2025"/>
  </r>
  <r>
    <s v="FN10480"/>
    <s v="CUST1480"/>
    <x v="7"/>
    <d v="2025-08-07T00:00:00"/>
    <s v="Commercial"/>
    <x v="3"/>
    <x v="2"/>
    <s v="Referral"/>
    <s v="P007"/>
    <s v="uPVC Doors"/>
    <s v="Doors"/>
    <n v="5"/>
    <n v="34090"/>
    <n v="0"/>
    <n v="170450"/>
    <n v="0"/>
    <n v="170450"/>
    <n v="2025"/>
    <x v="8"/>
    <n v="8"/>
    <x v="3"/>
    <s v="Negotiation"/>
    <s v="Pending"/>
    <s v="Completed"/>
    <n v="5"/>
    <n v="22"/>
    <n v="4"/>
    <s v="Aug"/>
    <s v="Q3"/>
    <n v="2025"/>
  </r>
  <r>
    <s v="FN10481"/>
    <s v="CUST1481"/>
    <x v="3"/>
    <d v="2025-04-03T00:00:00"/>
    <s v="Residential"/>
    <x v="0"/>
    <x v="4"/>
    <s v="Facebook"/>
    <s v="P001"/>
    <s v="uPVC Windows"/>
    <s v="Windows"/>
    <n v="3"/>
    <n v="18022"/>
    <n v="0.2"/>
    <n v="54066"/>
    <n v="10813.2"/>
    <n v="43252.800000000003"/>
    <n v="2025"/>
    <x v="5"/>
    <n v="4"/>
    <x v="1"/>
    <s v="Converted"/>
    <s v="Paid"/>
    <s v="Completed"/>
    <n v="6"/>
    <n v="17"/>
    <n v="3"/>
    <s v="Apr"/>
    <s v="Q2"/>
    <n v="2025"/>
  </r>
  <r>
    <s v="FN10482"/>
    <s v="CUST1482"/>
    <x v="5"/>
    <d v="2025-06-21T00:00:00"/>
    <s v="Commercial"/>
    <x v="3"/>
    <x v="0"/>
    <s v="Facebook"/>
    <s v="P004"/>
    <s v="French Doors"/>
    <s v="Doors"/>
    <n v="5"/>
    <n v="46931"/>
    <n v="0.1"/>
    <n v="234655"/>
    <n v="23465.5"/>
    <n v="211189.5"/>
    <n v="2025"/>
    <x v="1"/>
    <n v="6"/>
    <x v="1"/>
    <s v="Converted"/>
    <s v="Paid"/>
    <s v="Scheduled"/>
    <n v="5"/>
    <n v="6"/>
    <n v="5"/>
    <s v="Jun"/>
    <s v="Q2"/>
    <n v="2025"/>
  </r>
  <r>
    <s v="FN10487"/>
    <s v="CUST1487"/>
    <x v="2"/>
    <d v="2025-01-27T00:00:00"/>
    <s v="Residential"/>
    <x v="0"/>
    <x v="2"/>
    <s v="Dealer"/>
    <s v="P002"/>
    <s v="Aluminium Windows"/>
    <s v="Windows"/>
    <n v="4"/>
    <n v="24548"/>
    <n v="0"/>
    <n v="98192"/>
    <n v="0"/>
    <n v="98192"/>
    <n v="2025"/>
    <x v="10"/>
    <n v="1"/>
    <x v="2"/>
    <s v="Lost"/>
    <s v="Partially Paid"/>
    <s v="Completed"/>
    <n v="4"/>
    <n v="10"/>
    <n v="3"/>
    <s v="Jan"/>
    <s v="Q1"/>
    <n v="2025"/>
  </r>
  <r>
    <s v="FN10490"/>
    <s v="CUST1490"/>
    <x v="5"/>
    <d v="2025-12-25T00:00:00"/>
    <s v="Commercial"/>
    <x v="0"/>
    <x v="6"/>
    <s v="Referral"/>
    <s v="P004"/>
    <s v="French Doors"/>
    <s v="Doors"/>
    <n v="2"/>
    <n v="45983"/>
    <n v="0.1"/>
    <n v="91966"/>
    <n v="9196.6"/>
    <n v="82769.399999999994"/>
    <n v="2025"/>
    <x v="7"/>
    <n v="12"/>
    <x v="0"/>
    <s v="Converted"/>
    <s v="Paid"/>
    <s v="Scheduled"/>
    <n v="3"/>
    <n v="27"/>
    <n v="4"/>
    <s v="Dec"/>
    <s v="Q4"/>
    <n v="2025"/>
  </r>
  <r>
    <s v="FN10491"/>
    <s v="CUST1491"/>
    <x v="2"/>
    <d v="2025-07-17T00:00:00"/>
    <s v="Commercial"/>
    <x v="0"/>
    <x v="2"/>
    <s v="Instagram"/>
    <s v="P002"/>
    <s v="Aluminium Windows"/>
    <s v="Windows"/>
    <n v="2"/>
    <n v="23078"/>
    <n v="0.1"/>
    <n v="46156"/>
    <n v="4615.6000000000004"/>
    <n v="41540.400000000001"/>
    <n v="2025"/>
    <x v="11"/>
    <n v="7"/>
    <x v="3"/>
    <s v="Converted"/>
    <s v="Pending"/>
    <s v="Completed"/>
    <n v="3"/>
    <n v="7"/>
    <n v="3"/>
    <s v="Jul"/>
    <s v="Q3"/>
    <n v="2025"/>
  </r>
  <r>
    <s v="FN10492"/>
    <s v="CUST1492"/>
    <x v="2"/>
    <d v="2025-02-20T00:00:00"/>
    <s v="Residential"/>
    <x v="3"/>
    <x v="4"/>
    <s v="Google Ads"/>
    <s v="P002"/>
    <s v="Aluminium Windows"/>
    <s v="Windows"/>
    <n v="3"/>
    <n v="20179"/>
    <n v="0.1"/>
    <n v="60537"/>
    <n v="6053.7"/>
    <n v="54483.3"/>
    <n v="2025"/>
    <x v="2"/>
    <n v="2"/>
    <x v="2"/>
    <s v="Converted"/>
    <s v="Paid"/>
    <s v="Completed"/>
    <n v="6"/>
    <n v="23"/>
    <n v="4"/>
    <s v="Feb"/>
    <s v="Q1"/>
    <n v="2025"/>
  </r>
  <r>
    <s v="FN10494"/>
    <s v="CUST1494"/>
    <x v="5"/>
    <d v="2025-10-23T00:00:00"/>
    <s v="Residential"/>
    <x v="2"/>
    <x v="6"/>
    <s v="Referral"/>
    <s v="P004"/>
    <s v="French Doors"/>
    <s v="Doors"/>
    <n v="5"/>
    <n v="46812"/>
    <n v="0.15"/>
    <n v="234060"/>
    <n v="35109"/>
    <n v="198951"/>
    <n v="2025"/>
    <x v="0"/>
    <n v="10"/>
    <x v="0"/>
    <s v="Converted"/>
    <s v="Paid"/>
    <s v="In Progress"/>
    <n v="1"/>
    <n v="17"/>
    <n v="4"/>
    <s v="Oct"/>
    <s v="Q4"/>
    <n v="2025"/>
  </r>
  <r>
    <s v="FN10495"/>
    <s v="CUST1495"/>
    <x v="5"/>
    <d v="2025-12-14T00:00:00"/>
    <s v="Residential"/>
    <x v="3"/>
    <x v="1"/>
    <s v="Facebook"/>
    <s v="P004"/>
    <s v="French Doors"/>
    <s v="Doors"/>
    <n v="3"/>
    <n v="46895"/>
    <n v="0.05"/>
    <n v="140685"/>
    <n v="7034.25"/>
    <n v="133650.75"/>
    <n v="2025"/>
    <x v="7"/>
    <n v="12"/>
    <x v="0"/>
    <s v="New"/>
    <s v="Pending"/>
    <s v="Scheduled"/>
    <n v="7"/>
    <n v="11"/>
    <n v="2"/>
    <s v="Dec"/>
    <s v="Q4"/>
    <n v="2025"/>
  </r>
  <r>
    <s v="FN10496"/>
    <s v="CUST1496"/>
    <x v="3"/>
    <d v="2025-06-30T00:00:00"/>
    <s v="Residential"/>
    <x v="1"/>
    <x v="3"/>
    <s v="Dealer"/>
    <s v="P001"/>
    <s v="uPVC Windows"/>
    <s v="Windows"/>
    <n v="5"/>
    <n v="18943"/>
    <n v="0.15"/>
    <n v="94715"/>
    <n v="14207.25"/>
    <n v="80507.75"/>
    <n v="2025"/>
    <x v="1"/>
    <n v="6"/>
    <x v="1"/>
    <s v="Negotiation"/>
    <s v="Paid"/>
    <s v="Completed"/>
    <n v="5"/>
    <n v="30"/>
    <n v="4"/>
    <s v="Jun"/>
    <s v="Q2"/>
    <n v="2025"/>
  </r>
  <r>
    <s v="FN10497"/>
    <s v="CUST1497"/>
    <x v="7"/>
    <d v="2025-04-27T00:00:00"/>
    <s v="Commercial"/>
    <x v="3"/>
    <x v="1"/>
    <s v="Walk-in"/>
    <s v="P007"/>
    <s v="uPVC Doors"/>
    <s v="Doors"/>
    <n v="2"/>
    <n v="31737"/>
    <n v="0.1"/>
    <n v="63474"/>
    <n v="6347.4"/>
    <n v="57126.6"/>
    <n v="2025"/>
    <x v="5"/>
    <n v="4"/>
    <x v="1"/>
    <s v="Negotiation"/>
    <s v="Paid"/>
    <s v="Completed"/>
    <n v="4"/>
    <n v="29"/>
    <n v="2"/>
    <s v="Apr"/>
    <s v="Q2"/>
    <n v="2025"/>
  </r>
  <r>
    <s v="FN10499"/>
    <s v="CUST1499"/>
    <x v="4"/>
    <d v="2025-02-18T00:00:00"/>
    <s v="Residential"/>
    <x v="3"/>
    <x v="5"/>
    <s v="Dealer"/>
    <s v="P005"/>
    <s v="Casement Windows"/>
    <s v="Windows"/>
    <n v="4"/>
    <n v="25126"/>
    <n v="0.15"/>
    <n v="100504"/>
    <n v="15075.6"/>
    <n v="85428.4"/>
    <n v="2025"/>
    <x v="2"/>
    <n v="2"/>
    <x v="2"/>
    <s v="Converted"/>
    <s v="Pending"/>
    <s v="Completed"/>
    <n v="2"/>
    <n v="19"/>
    <n v="3"/>
    <s v="Feb"/>
    <s v="Q1"/>
    <n v="2025"/>
  </r>
  <r>
    <s v="FN10503"/>
    <s v="CUST1503"/>
    <x v="1"/>
    <d v="2025-07-22T00:00:00"/>
    <s v="Commercial"/>
    <x v="2"/>
    <x v="5"/>
    <s v="Facebook"/>
    <s v="P006"/>
    <s v="Bi-Fold Doors"/>
    <s v="Doors"/>
    <n v="3"/>
    <n v="52566"/>
    <n v="0.05"/>
    <n v="157698"/>
    <n v="7884.9"/>
    <n v="149813.1"/>
    <n v="2025"/>
    <x v="11"/>
    <n v="7"/>
    <x v="3"/>
    <s v="Converted"/>
    <s v="Partially Paid"/>
    <s v="Scheduled"/>
    <n v="7"/>
    <n v="7"/>
    <n v="4"/>
    <s v="Jul"/>
    <s v="Q3"/>
    <n v="2025"/>
  </r>
  <r>
    <s v="FN10504"/>
    <s v="CUST1504"/>
    <x v="5"/>
    <d v="2025-04-13T00:00:00"/>
    <s v="Residential"/>
    <x v="3"/>
    <x v="1"/>
    <s v="Google Ads"/>
    <s v="P004"/>
    <s v="French Doors"/>
    <s v="Doors"/>
    <n v="1"/>
    <n v="47374"/>
    <n v="0.05"/>
    <n v="47374"/>
    <n v="2368.6999999999998"/>
    <n v="45005.3"/>
    <n v="2025"/>
    <x v="5"/>
    <n v="4"/>
    <x v="1"/>
    <s v="New"/>
    <s v="Partially Paid"/>
    <s v="Completed"/>
    <n v="5"/>
    <n v="13"/>
    <n v="4"/>
    <s v="Apr"/>
    <s v="Q2"/>
    <n v="2025"/>
  </r>
  <r>
    <s v="FN10505"/>
    <s v="CUST1505"/>
    <x v="5"/>
    <d v="2025-08-18T00:00:00"/>
    <s v="Commercial"/>
    <x v="2"/>
    <x v="4"/>
    <s v="Website"/>
    <s v="P004"/>
    <s v="French Doors"/>
    <s v="Doors"/>
    <n v="5"/>
    <n v="47742"/>
    <n v="0.05"/>
    <n v="238710"/>
    <n v="11935.5"/>
    <n v="226774.5"/>
    <n v="2025"/>
    <x v="8"/>
    <n v="8"/>
    <x v="3"/>
    <s v="Converted"/>
    <s v="Pending"/>
    <s v="Delayed"/>
    <n v="5"/>
    <n v="18"/>
    <n v="5"/>
    <s v="Aug"/>
    <s v="Q3"/>
    <n v="2025"/>
  </r>
  <r>
    <s v="FN10506"/>
    <s v="CUST1506"/>
    <x v="4"/>
    <d v="2025-12-12T00:00:00"/>
    <s v="Residential"/>
    <x v="2"/>
    <x v="7"/>
    <s v="Facebook"/>
    <s v="P005"/>
    <s v="Casement Windows"/>
    <s v="Windows"/>
    <n v="6"/>
    <n v="25395"/>
    <n v="0"/>
    <n v="152370"/>
    <n v="0"/>
    <n v="152370"/>
    <n v="2025"/>
    <x v="7"/>
    <n v="12"/>
    <x v="0"/>
    <s v="Converted"/>
    <s v="Paid"/>
    <s v="Completed"/>
    <n v="7"/>
    <n v="17"/>
    <n v="4"/>
    <s v="Dec"/>
    <s v="Q4"/>
    <n v="2025"/>
  </r>
  <r>
    <s v="FN10507"/>
    <s v="CUST1507"/>
    <x v="7"/>
    <d v="2025-08-23T00:00:00"/>
    <s v="Commercial"/>
    <x v="0"/>
    <x v="0"/>
    <s v="Facebook"/>
    <s v="P007"/>
    <s v="uPVC Doors"/>
    <s v="Doors"/>
    <n v="5"/>
    <n v="33520"/>
    <n v="0.1"/>
    <n v="167600"/>
    <n v="16760"/>
    <n v="150840"/>
    <n v="2025"/>
    <x v="8"/>
    <n v="8"/>
    <x v="3"/>
    <s v="Converted"/>
    <s v="Pending"/>
    <s v="Completed"/>
    <n v="1"/>
    <n v="25"/>
    <n v="5"/>
    <s v="Aug"/>
    <s v="Q3"/>
    <n v="2025"/>
  </r>
  <r>
    <s v="FN10511"/>
    <s v="CUST1511"/>
    <x v="2"/>
    <d v="2025-06-13T00:00:00"/>
    <s v="Residential"/>
    <x v="1"/>
    <x v="4"/>
    <s v="Facebook"/>
    <s v="P002"/>
    <s v="Aluminium Windows"/>
    <s v="Windows"/>
    <n v="1"/>
    <n v="20493"/>
    <n v="0"/>
    <n v="20493"/>
    <n v="0"/>
    <n v="20493"/>
    <n v="2025"/>
    <x v="1"/>
    <n v="6"/>
    <x v="1"/>
    <s v="Lost"/>
    <s v="Partially Paid"/>
    <s v="Completed"/>
    <n v="6"/>
    <n v="7"/>
    <n v="5"/>
    <s v="Jun"/>
    <s v="Q2"/>
    <n v="2025"/>
  </r>
  <r>
    <s v="FN10512"/>
    <s v="CUST1512"/>
    <x v="2"/>
    <d v="2025-11-22T00:00:00"/>
    <s v="Residential"/>
    <x v="0"/>
    <x v="2"/>
    <s v="Dealer"/>
    <s v="P002"/>
    <s v="Aluminium Windows"/>
    <s v="Windows"/>
    <n v="5"/>
    <n v="24098"/>
    <n v="0.1"/>
    <n v="120490"/>
    <n v="12049"/>
    <n v="108441"/>
    <n v="2025"/>
    <x v="3"/>
    <n v="11"/>
    <x v="0"/>
    <s v="Site Visit"/>
    <s v="Pending"/>
    <s v="Completed"/>
    <n v="1"/>
    <n v="5"/>
    <n v="4"/>
    <s v="Nov"/>
    <s v="Q4"/>
    <n v="2025"/>
  </r>
  <r>
    <s v="FN10513"/>
    <s v="CUST1513"/>
    <x v="3"/>
    <d v="2025-04-27T00:00:00"/>
    <s v="Residential"/>
    <x v="2"/>
    <x v="7"/>
    <s v="Facebook"/>
    <s v="P001"/>
    <s v="uPVC Windows"/>
    <s v="Windows"/>
    <n v="4"/>
    <n v="20492"/>
    <n v="0.05"/>
    <n v="81968"/>
    <n v="4098.3999999999996"/>
    <n v="77869.600000000006"/>
    <n v="2025"/>
    <x v="5"/>
    <n v="4"/>
    <x v="1"/>
    <s v="Converted"/>
    <s v="Partially Paid"/>
    <s v="Completed"/>
    <n v="5"/>
    <n v="5"/>
    <n v="1"/>
    <s v="Apr"/>
    <s v="Q2"/>
    <n v="2025"/>
  </r>
  <r>
    <s v="FN10514"/>
    <s v="CUST1514"/>
    <x v="2"/>
    <d v="2025-02-04T00:00:00"/>
    <s v="Residential"/>
    <x v="1"/>
    <x v="1"/>
    <s v="Dealer"/>
    <s v="P002"/>
    <s v="Aluminium Windows"/>
    <s v="Windows"/>
    <n v="4"/>
    <n v="21022"/>
    <n v="0.05"/>
    <n v="84088"/>
    <n v="4204.3999999999996"/>
    <n v="79883.600000000006"/>
    <n v="2025"/>
    <x v="2"/>
    <n v="2"/>
    <x v="2"/>
    <s v="New"/>
    <s v="Paid"/>
    <s v="Completed"/>
    <n v="1"/>
    <n v="19"/>
    <n v="4"/>
    <s v="Feb"/>
    <s v="Q1"/>
    <n v="2025"/>
  </r>
  <r>
    <s v="FN10515"/>
    <s v="CUST1515"/>
    <x v="5"/>
    <d v="2025-10-26T00:00:00"/>
    <s v="Commercial"/>
    <x v="0"/>
    <x v="7"/>
    <s v="Website"/>
    <s v="P004"/>
    <s v="French Doors"/>
    <s v="Doors"/>
    <n v="5"/>
    <n v="42057"/>
    <n v="0.2"/>
    <n v="210285"/>
    <n v="42057"/>
    <n v="168228"/>
    <n v="2025"/>
    <x v="0"/>
    <n v="10"/>
    <x v="0"/>
    <s v="Converted"/>
    <s v="Paid"/>
    <s v="Completed"/>
    <n v="3"/>
    <n v="16"/>
    <n v="3"/>
    <s v="Oct"/>
    <s v="Q4"/>
    <n v="2025"/>
  </r>
  <r>
    <s v="FN10516"/>
    <s v="CUST1516"/>
    <x v="2"/>
    <d v="2025-06-10T00:00:00"/>
    <s v="Residential"/>
    <x v="3"/>
    <x v="3"/>
    <s v="Referral"/>
    <s v="P002"/>
    <s v="Aluminium Windows"/>
    <s v="Windows"/>
    <n v="5"/>
    <n v="25010"/>
    <n v="0.05"/>
    <n v="125050"/>
    <n v="6252.5"/>
    <n v="118797.5"/>
    <n v="2025"/>
    <x v="1"/>
    <n v="6"/>
    <x v="1"/>
    <s v="Negotiation"/>
    <s v="Partially Paid"/>
    <s v="Completed"/>
    <n v="5"/>
    <n v="5"/>
    <n v="4"/>
    <s v="Jun"/>
    <s v="Q2"/>
    <n v="2025"/>
  </r>
  <r>
    <s v="FN10518"/>
    <s v="CUST1518"/>
    <x v="4"/>
    <d v="2025-12-22T00:00:00"/>
    <s v="Commercial"/>
    <x v="0"/>
    <x v="3"/>
    <s v="Website"/>
    <s v="P005"/>
    <s v="Casement Windows"/>
    <s v="Windows"/>
    <n v="4"/>
    <n v="23964"/>
    <n v="0.05"/>
    <n v="95856"/>
    <n v="4792.8"/>
    <n v="91063.2"/>
    <n v="2025"/>
    <x v="7"/>
    <n v="12"/>
    <x v="0"/>
    <s v="Converted"/>
    <s v="Paid"/>
    <s v="Completed"/>
    <n v="4"/>
    <n v="11"/>
    <n v="1"/>
    <s v="Dec"/>
    <s v="Q4"/>
    <n v="2025"/>
  </r>
  <r>
    <s v="FN10520"/>
    <s v="CUST1520"/>
    <x v="6"/>
    <d v="2025-12-25T00:00:00"/>
    <s v="Residential"/>
    <x v="1"/>
    <x v="1"/>
    <s v="Facebook"/>
    <s v="P003"/>
    <s v="Sliding Doors"/>
    <s v="Doors"/>
    <n v="2"/>
    <n v="33631"/>
    <n v="0.15"/>
    <n v="67262"/>
    <n v="10089.299999999999"/>
    <n v="57172.7"/>
    <n v="2025"/>
    <x v="7"/>
    <n v="12"/>
    <x v="0"/>
    <s v="New"/>
    <s v="Paid"/>
    <s v="In Progress"/>
    <n v="7"/>
    <n v="18"/>
    <n v="4"/>
    <s v="Dec"/>
    <s v="Q4"/>
    <n v="2025"/>
  </r>
  <r>
    <s v="FN10524"/>
    <s v="CUST1524"/>
    <x v="5"/>
    <d v="2025-04-08T00:00:00"/>
    <s v="Residential"/>
    <x v="1"/>
    <x v="5"/>
    <s v="Website"/>
    <s v="P004"/>
    <s v="French Doors"/>
    <s v="Doors"/>
    <n v="4"/>
    <n v="44416"/>
    <n v="0.2"/>
    <n v="177664"/>
    <n v="35532.800000000003"/>
    <n v="142131.20000000001"/>
    <n v="2025"/>
    <x v="5"/>
    <n v="4"/>
    <x v="1"/>
    <s v="Converted"/>
    <s v="Paid"/>
    <s v="Completed"/>
    <n v="3"/>
    <n v="30"/>
    <n v="4"/>
    <s v="Apr"/>
    <s v="Q2"/>
    <n v="2025"/>
  </r>
  <r>
    <s v="FN10525"/>
    <s v="CUST1525"/>
    <x v="1"/>
    <d v="2025-03-03T00:00:00"/>
    <s v="Residential"/>
    <x v="3"/>
    <x v="2"/>
    <s v="Facebook"/>
    <s v="P006"/>
    <s v="Bi-Fold Doors"/>
    <s v="Doors"/>
    <n v="3"/>
    <n v="58158"/>
    <n v="0.05"/>
    <n v="174474"/>
    <n v="8723.7000000000007"/>
    <n v="165750.29999999999"/>
    <n v="2025"/>
    <x v="9"/>
    <n v="3"/>
    <x v="2"/>
    <s v="New"/>
    <s v="Paid"/>
    <s v="Completed"/>
    <n v="1"/>
    <n v="16"/>
    <n v="3"/>
    <s v="Mar"/>
    <s v="Q1"/>
    <n v="2025"/>
  </r>
  <r>
    <s v="FN10526"/>
    <s v="CUST1526"/>
    <x v="5"/>
    <d v="2025-02-16T00:00:00"/>
    <s v="Residential"/>
    <x v="0"/>
    <x v="5"/>
    <s v="Referral"/>
    <s v="P004"/>
    <s v="French Doors"/>
    <s v="Doors"/>
    <n v="2"/>
    <n v="40358"/>
    <n v="0.05"/>
    <n v="80716"/>
    <n v="4035.8"/>
    <n v="76680.2"/>
    <n v="2025"/>
    <x v="2"/>
    <n v="2"/>
    <x v="2"/>
    <s v="Negotiation"/>
    <s v="Pending"/>
    <s v="Completed"/>
    <n v="2"/>
    <n v="9"/>
    <n v="4"/>
    <s v="Feb"/>
    <s v="Q1"/>
    <n v="2025"/>
  </r>
  <r>
    <s v="FN10528"/>
    <s v="CUST1528"/>
    <x v="7"/>
    <d v="2025-12-20T00:00:00"/>
    <s v="Commercial"/>
    <x v="2"/>
    <x v="2"/>
    <s v="Dealer"/>
    <s v="P007"/>
    <s v="uPVC Doors"/>
    <s v="Doors"/>
    <n v="2"/>
    <n v="28158"/>
    <n v="0.1"/>
    <n v="56316"/>
    <n v="5631.6"/>
    <n v="50684.4"/>
    <n v="2025"/>
    <x v="7"/>
    <n v="12"/>
    <x v="0"/>
    <s v="Converted"/>
    <s v="Paid"/>
    <s v="Completed"/>
    <n v="5"/>
    <n v="12"/>
    <n v="5"/>
    <s v="Dec"/>
    <s v="Q4"/>
    <n v="2025"/>
  </r>
  <r>
    <s v="FN10530"/>
    <s v="CUST1530"/>
    <x v="2"/>
    <d v="2025-06-16T00:00:00"/>
    <s v="Residential"/>
    <x v="1"/>
    <x v="7"/>
    <s v="Instagram"/>
    <s v="P002"/>
    <s v="Aluminium Windows"/>
    <s v="Windows"/>
    <n v="4"/>
    <n v="23749"/>
    <n v="0.05"/>
    <n v="94996"/>
    <n v="4749.8"/>
    <n v="90246.2"/>
    <n v="2025"/>
    <x v="1"/>
    <n v="6"/>
    <x v="1"/>
    <s v="Converted"/>
    <s v="Paid"/>
    <s v="Completed"/>
    <n v="2"/>
    <n v="25"/>
    <n v="5"/>
    <s v="Jun"/>
    <s v="Q2"/>
    <n v="2025"/>
  </r>
  <r>
    <s v="FN10531"/>
    <s v="CUST1531"/>
    <x v="2"/>
    <d v="2025-05-13T00:00:00"/>
    <s v="Residential"/>
    <x v="3"/>
    <x v="6"/>
    <s v="Facebook"/>
    <s v="P002"/>
    <s v="Aluminium Windows"/>
    <s v="Windows"/>
    <n v="6"/>
    <n v="23864"/>
    <n v="0"/>
    <n v="143184"/>
    <n v="0"/>
    <n v="143184"/>
    <n v="2025"/>
    <x v="4"/>
    <n v="5"/>
    <x v="1"/>
    <s v="Site Visit"/>
    <s v="Paid"/>
    <s v="Scheduled"/>
    <n v="5"/>
    <n v="11"/>
    <n v="4"/>
    <s v="May"/>
    <s v="Q2"/>
    <n v="2025"/>
  </r>
  <r>
    <s v="FN10532"/>
    <s v="CUST1532"/>
    <x v="0"/>
    <d v="2025-08-29T00:00:00"/>
    <s v="Commercial"/>
    <x v="2"/>
    <x v="5"/>
    <s v="Google Ads"/>
    <s v="P008"/>
    <s v="Soundproof Windows"/>
    <s v="Windows"/>
    <n v="6"/>
    <n v="46691"/>
    <n v="0.15"/>
    <n v="280146"/>
    <n v="42021.9"/>
    <n v="238124.1"/>
    <n v="2025"/>
    <x v="8"/>
    <n v="8"/>
    <x v="3"/>
    <s v="Negotiation"/>
    <s v="Paid"/>
    <s v="Completed"/>
    <n v="7"/>
    <n v="30"/>
    <n v="5"/>
    <s v="Aug"/>
    <s v="Q3"/>
    <n v="2025"/>
  </r>
  <r>
    <s v="FN10533"/>
    <s v="CUST1533"/>
    <x v="1"/>
    <d v="2025-09-03T00:00:00"/>
    <s v="Commercial"/>
    <x v="2"/>
    <x v="1"/>
    <s v="Instagram"/>
    <s v="P006"/>
    <s v="Bi-Fold Doors"/>
    <s v="Doors"/>
    <n v="6"/>
    <n v="56193"/>
    <n v="0.2"/>
    <n v="337158"/>
    <n v="67431.600000000006"/>
    <n v="269726.40000000002"/>
    <n v="2025"/>
    <x v="6"/>
    <n v="9"/>
    <x v="3"/>
    <s v="Converted"/>
    <s v="Paid"/>
    <s v="Scheduled"/>
    <n v="5"/>
    <n v="13"/>
    <n v="3"/>
    <s v="Sep"/>
    <s v="Q3"/>
    <n v="2025"/>
  </r>
  <r>
    <s v="FN10534"/>
    <s v="CUST1534"/>
    <x v="7"/>
    <d v="2025-09-08T00:00:00"/>
    <s v="Residential"/>
    <x v="0"/>
    <x v="1"/>
    <s v="Google Ads"/>
    <s v="P007"/>
    <s v="uPVC Doors"/>
    <s v="Doors"/>
    <n v="1"/>
    <n v="28234"/>
    <n v="0.05"/>
    <n v="28234"/>
    <n v="1411.7"/>
    <n v="26822.3"/>
    <n v="2025"/>
    <x v="6"/>
    <n v="9"/>
    <x v="3"/>
    <s v="Converted"/>
    <s v="Paid"/>
    <s v="Completed"/>
    <n v="3"/>
    <n v="10"/>
    <n v="4"/>
    <s v="Sep"/>
    <s v="Q3"/>
    <n v="2025"/>
  </r>
  <r>
    <s v="FN10536"/>
    <s v="CUST1536"/>
    <x v="3"/>
    <d v="2025-05-10T00:00:00"/>
    <s v="Residential"/>
    <x v="2"/>
    <x v="2"/>
    <s v="Facebook"/>
    <s v="P001"/>
    <s v="uPVC Windows"/>
    <s v="Windows"/>
    <n v="5"/>
    <n v="17317"/>
    <n v="0.2"/>
    <n v="86585"/>
    <n v="17317"/>
    <n v="69268"/>
    <n v="2025"/>
    <x v="4"/>
    <n v="5"/>
    <x v="1"/>
    <s v="Site Visit"/>
    <s v="Paid"/>
    <s v="Completed"/>
    <n v="6"/>
    <n v="19"/>
    <n v="4"/>
    <s v="May"/>
    <s v="Q2"/>
    <n v="2025"/>
  </r>
  <r>
    <s v="FN10537"/>
    <s v="CUST1537"/>
    <x v="2"/>
    <d v="2025-10-26T00:00:00"/>
    <s v="Residential"/>
    <x v="0"/>
    <x v="3"/>
    <s v="Instagram"/>
    <s v="P002"/>
    <s v="Aluminium Windows"/>
    <s v="Windows"/>
    <n v="2"/>
    <n v="20370"/>
    <n v="0.1"/>
    <n v="40740"/>
    <n v="4074"/>
    <n v="36666"/>
    <n v="2025"/>
    <x v="0"/>
    <n v="10"/>
    <x v="0"/>
    <s v="Lost"/>
    <s v="Pending"/>
    <s v="Completed"/>
    <n v="5"/>
    <n v="7"/>
    <n v="5"/>
    <s v="Oct"/>
    <s v="Q4"/>
    <n v="2025"/>
  </r>
  <r>
    <s v="FN10538"/>
    <s v="CUST1538"/>
    <x v="0"/>
    <d v="2025-10-08T00:00:00"/>
    <s v="Commercial"/>
    <x v="1"/>
    <x v="0"/>
    <s v="Instagram"/>
    <s v="P008"/>
    <s v="Soundproof Windows"/>
    <s v="Windows"/>
    <n v="1"/>
    <n v="44659"/>
    <n v="0.1"/>
    <n v="44659"/>
    <n v="4465.8999999999996"/>
    <n v="40193.1"/>
    <n v="2025"/>
    <x v="0"/>
    <n v="10"/>
    <x v="0"/>
    <s v="Converted"/>
    <s v="Paid"/>
    <s v="Scheduled"/>
    <n v="3"/>
    <n v="10"/>
    <n v="4"/>
    <s v="Oct"/>
    <s v="Q4"/>
    <n v="2025"/>
  </r>
  <r>
    <s v="FN10539"/>
    <s v="CUST1539"/>
    <x v="5"/>
    <d v="2025-12-22T00:00:00"/>
    <s v="Commercial"/>
    <x v="0"/>
    <x v="2"/>
    <s v="Facebook"/>
    <s v="P004"/>
    <s v="French Doors"/>
    <s v="Doors"/>
    <n v="4"/>
    <n v="47224"/>
    <n v="0.15"/>
    <n v="188896"/>
    <n v="28334.400000000001"/>
    <n v="160561.60000000001"/>
    <n v="2025"/>
    <x v="7"/>
    <n v="12"/>
    <x v="0"/>
    <s v="New"/>
    <s v="Partially Paid"/>
    <s v="Completed"/>
    <n v="6"/>
    <n v="27"/>
    <n v="5"/>
    <s v="Dec"/>
    <s v="Q4"/>
    <n v="2025"/>
  </r>
  <r>
    <s v="FN10541"/>
    <s v="CUST1541"/>
    <x v="2"/>
    <d v="2025-04-15T00:00:00"/>
    <s v="Residential"/>
    <x v="0"/>
    <x v="4"/>
    <s v="Referral"/>
    <s v="P002"/>
    <s v="Aluminium Windows"/>
    <s v="Windows"/>
    <n v="3"/>
    <n v="24927"/>
    <n v="0.1"/>
    <n v="74781"/>
    <n v="7478.1"/>
    <n v="67302.899999999994"/>
    <n v="2025"/>
    <x v="5"/>
    <n v="4"/>
    <x v="1"/>
    <s v="Negotiation"/>
    <s v="Paid"/>
    <s v="Completed"/>
    <n v="6"/>
    <n v="24"/>
    <n v="5"/>
    <s v="Apr"/>
    <s v="Q2"/>
    <n v="2025"/>
  </r>
  <r>
    <s v="FN10542"/>
    <s v="CUST1542"/>
    <x v="2"/>
    <d v="2025-05-01T00:00:00"/>
    <s v="Residential"/>
    <x v="1"/>
    <x v="1"/>
    <s v="Walk-in"/>
    <s v="P002"/>
    <s v="Aluminium Windows"/>
    <s v="Windows"/>
    <n v="2"/>
    <n v="22469"/>
    <n v="0"/>
    <n v="44938"/>
    <n v="0"/>
    <n v="44938"/>
    <n v="2025"/>
    <x v="4"/>
    <n v="5"/>
    <x v="1"/>
    <s v="New"/>
    <s v="Paid"/>
    <s v="Completed"/>
    <n v="3"/>
    <n v="7"/>
    <n v="4"/>
    <s v="May"/>
    <s v="Q2"/>
    <n v="2025"/>
  </r>
  <r>
    <s v="FN10545"/>
    <s v="CUST1545"/>
    <x v="4"/>
    <d v="2025-07-07T00:00:00"/>
    <s v="Residential"/>
    <x v="3"/>
    <x v="4"/>
    <s v="Dealer"/>
    <s v="P005"/>
    <s v="Casement Windows"/>
    <s v="Windows"/>
    <n v="3"/>
    <n v="29268"/>
    <n v="0.1"/>
    <n v="87804"/>
    <n v="8780.4"/>
    <n v="79023.600000000006"/>
    <n v="2025"/>
    <x v="11"/>
    <n v="7"/>
    <x v="3"/>
    <s v="Converted"/>
    <s v="Partially Paid"/>
    <s v="Scheduled"/>
    <n v="2"/>
    <n v="11"/>
    <n v="4"/>
    <s v="Jul"/>
    <s v="Q3"/>
    <n v="2025"/>
  </r>
  <r>
    <s v="FN10548"/>
    <s v="CUST1548"/>
    <x v="1"/>
    <d v="2025-01-17T00:00:00"/>
    <s v="Residential"/>
    <x v="0"/>
    <x v="2"/>
    <s v="Website"/>
    <s v="P006"/>
    <s v="Bi-Fold Doors"/>
    <s v="Doors"/>
    <n v="3"/>
    <n v="52777"/>
    <n v="0.15"/>
    <n v="158331"/>
    <n v="23749.65"/>
    <n v="134581.35"/>
    <n v="2025"/>
    <x v="10"/>
    <n v="1"/>
    <x v="2"/>
    <s v="Converted"/>
    <s v="Paid"/>
    <s v="Delayed"/>
    <n v="3"/>
    <n v="20"/>
    <n v="3"/>
    <s v="Jan"/>
    <s v="Q1"/>
    <n v="2025"/>
  </r>
  <r>
    <s v="FN10551"/>
    <s v="CUST1551"/>
    <x v="2"/>
    <d v="2025-08-25T00:00:00"/>
    <s v="Residential"/>
    <x v="2"/>
    <x v="7"/>
    <s v="Google Ads"/>
    <s v="P002"/>
    <s v="Aluminium Windows"/>
    <s v="Windows"/>
    <n v="2"/>
    <n v="24300"/>
    <n v="0.1"/>
    <n v="48600"/>
    <n v="4860"/>
    <n v="43740"/>
    <n v="2025"/>
    <x v="8"/>
    <n v="8"/>
    <x v="3"/>
    <s v="Converted"/>
    <s v="Paid"/>
    <s v="Completed"/>
    <n v="1"/>
    <n v="18"/>
    <n v="4"/>
    <s v="Aug"/>
    <s v="Q3"/>
    <n v="2025"/>
  </r>
  <r>
    <s v="FN10553"/>
    <s v="CUST1553"/>
    <x v="2"/>
    <d v="2025-03-27T00:00:00"/>
    <s v="Residential"/>
    <x v="3"/>
    <x v="1"/>
    <s v="Instagram"/>
    <s v="P002"/>
    <s v="Aluminium Windows"/>
    <s v="Windows"/>
    <n v="3"/>
    <n v="20911"/>
    <n v="0"/>
    <n v="62733"/>
    <n v="0"/>
    <n v="62733"/>
    <n v="2025"/>
    <x v="9"/>
    <n v="3"/>
    <x v="2"/>
    <s v="New"/>
    <s v="Paid"/>
    <s v="In Progress"/>
    <n v="3"/>
    <n v="16"/>
    <n v="4"/>
    <s v="Mar"/>
    <s v="Q1"/>
    <n v="2025"/>
  </r>
  <r>
    <s v="FN10555"/>
    <s v="CUST1555"/>
    <x v="5"/>
    <d v="2025-07-13T00:00:00"/>
    <s v="Commercial"/>
    <x v="3"/>
    <x v="0"/>
    <s v="Google Ads"/>
    <s v="P004"/>
    <s v="French Doors"/>
    <s v="Doors"/>
    <n v="3"/>
    <n v="45573"/>
    <n v="0"/>
    <n v="136719"/>
    <n v="0"/>
    <n v="136719"/>
    <n v="2025"/>
    <x v="11"/>
    <n v="7"/>
    <x v="3"/>
    <s v="Converted"/>
    <s v="Paid"/>
    <s v="Delayed"/>
    <n v="3"/>
    <n v="16"/>
    <n v="4"/>
    <s v="Jul"/>
    <s v="Q3"/>
    <n v="2025"/>
  </r>
  <r>
    <s v="FN10557"/>
    <s v="CUST1557"/>
    <x v="5"/>
    <d v="2025-11-30T00:00:00"/>
    <s v="Residential"/>
    <x v="0"/>
    <x v="5"/>
    <s v="Website"/>
    <s v="P004"/>
    <s v="French Doors"/>
    <s v="Doors"/>
    <n v="1"/>
    <n v="39949"/>
    <n v="0.1"/>
    <n v="39949"/>
    <n v="3994.9"/>
    <n v="35954.1"/>
    <n v="2025"/>
    <x v="3"/>
    <n v="11"/>
    <x v="0"/>
    <s v="Converted"/>
    <s v="Paid"/>
    <s v="Completed"/>
    <n v="7"/>
    <n v="6"/>
    <n v="5"/>
    <s v="Nov"/>
    <s v="Q4"/>
    <n v="2025"/>
  </r>
  <r>
    <s v="FN10558"/>
    <s v="CUST1558"/>
    <x v="1"/>
    <d v="2025-03-08T00:00:00"/>
    <s v="Commercial"/>
    <x v="3"/>
    <x v="7"/>
    <s v="Walk-in"/>
    <s v="P006"/>
    <s v="Bi-Fold Doors"/>
    <s v="Doors"/>
    <n v="4"/>
    <n v="51848"/>
    <n v="0.05"/>
    <n v="207392"/>
    <n v="10369.6"/>
    <n v="197022.4"/>
    <n v="2025"/>
    <x v="9"/>
    <n v="3"/>
    <x v="2"/>
    <s v="Converted"/>
    <s v="Paid"/>
    <s v="Delayed"/>
    <n v="4"/>
    <n v="21"/>
    <n v="1"/>
    <s v="Mar"/>
    <s v="Q1"/>
    <n v="2025"/>
  </r>
  <r>
    <s v="FN10560"/>
    <s v="CUST1560"/>
    <x v="3"/>
    <d v="2025-12-29T00:00:00"/>
    <s v="Residential"/>
    <x v="0"/>
    <x v="1"/>
    <s v="Dealer"/>
    <s v="P001"/>
    <s v="uPVC Windows"/>
    <s v="Windows"/>
    <n v="4"/>
    <n v="18949"/>
    <n v="0"/>
    <n v="75796"/>
    <n v="0"/>
    <n v="75796"/>
    <n v="2025"/>
    <x v="7"/>
    <n v="12"/>
    <x v="0"/>
    <s v="Converted"/>
    <s v="Partially Paid"/>
    <s v="Scheduled"/>
    <n v="3"/>
    <n v="22"/>
    <n v="4"/>
    <s v="Dec"/>
    <s v="Q4"/>
    <n v="2025"/>
  </r>
  <r>
    <s v="FN10562"/>
    <s v="CUST1562"/>
    <x v="4"/>
    <d v="2025-08-14T00:00:00"/>
    <s v="Residential"/>
    <x v="2"/>
    <x v="4"/>
    <s v="Google Ads"/>
    <s v="P005"/>
    <s v="Casement Windows"/>
    <s v="Windows"/>
    <n v="4"/>
    <n v="28660"/>
    <n v="0.05"/>
    <n v="114640"/>
    <n v="5732"/>
    <n v="108908"/>
    <n v="2025"/>
    <x v="8"/>
    <n v="8"/>
    <x v="3"/>
    <s v="Lost"/>
    <s v="Paid"/>
    <s v="Completed"/>
    <n v="1"/>
    <n v="11"/>
    <n v="4"/>
    <s v="Aug"/>
    <s v="Q3"/>
    <n v="2025"/>
  </r>
  <r>
    <s v="FN10570"/>
    <s v="CUST1570"/>
    <x v="3"/>
    <d v="2025-06-10T00:00:00"/>
    <s v="Residential"/>
    <x v="1"/>
    <x v="2"/>
    <s v="Website"/>
    <s v="P001"/>
    <s v="uPVC Windows"/>
    <s v="Windows"/>
    <n v="6"/>
    <n v="19218"/>
    <n v="0.05"/>
    <n v="115308"/>
    <n v="5765.4"/>
    <n v="109542.6"/>
    <n v="2025"/>
    <x v="1"/>
    <n v="6"/>
    <x v="1"/>
    <s v="Site Visit"/>
    <s v="Paid"/>
    <s v="In Progress"/>
    <n v="2"/>
    <n v="10"/>
    <n v="5"/>
    <s v="Jun"/>
    <s v="Q2"/>
    <n v="2025"/>
  </r>
  <r>
    <s v="FN10571"/>
    <s v="CUST1571"/>
    <x v="3"/>
    <d v="2025-05-21T00:00:00"/>
    <s v="Commercial"/>
    <x v="0"/>
    <x v="6"/>
    <s v="Website"/>
    <s v="P001"/>
    <s v="uPVC Windows"/>
    <s v="Windows"/>
    <n v="1"/>
    <n v="16545"/>
    <n v="0.05"/>
    <n v="16545"/>
    <n v="827.25"/>
    <n v="15717.75"/>
    <n v="2025"/>
    <x v="4"/>
    <n v="5"/>
    <x v="1"/>
    <s v="Converted"/>
    <s v="Partially Paid"/>
    <s v="Scheduled"/>
    <n v="1"/>
    <n v="21"/>
    <n v="5"/>
    <s v="May"/>
    <s v="Q2"/>
    <n v="2025"/>
  </r>
  <r>
    <s v="FN10575"/>
    <s v="CUST1575"/>
    <x v="6"/>
    <d v="2025-05-23T00:00:00"/>
    <s v="Residential"/>
    <x v="3"/>
    <x v="3"/>
    <s v="Dealer"/>
    <s v="P003"/>
    <s v="Sliding Doors"/>
    <s v="Doors"/>
    <n v="1"/>
    <n v="38764"/>
    <n v="0.1"/>
    <n v="38764"/>
    <n v="3876.4"/>
    <n v="34887.599999999999"/>
    <n v="2025"/>
    <x v="4"/>
    <n v="5"/>
    <x v="1"/>
    <s v="Converted"/>
    <s v="Paid"/>
    <s v="Scheduled"/>
    <n v="7"/>
    <n v="9"/>
    <n v="5"/>
    <s v="May"/>
    <s v="Q2"/>
    <n v="2025"/>
  </r>
  <r>
    <s v="FN10579"/>
    <s v="CUST1579"/>
    <x v="7"/>
    <d v="2025-03-20T00:00:00"/>
    <s v="Commercial"/>
    <x v="1"/>
    <x v="7"/>
    <s v="Google Ads"/>
    <s v="P007"/>
    <s v="uPVC Doors"/>
    <s v="Doors"/>
    <n v="1"/>
    <n v="29332"/>
    <n v="0.15"/>
    <n v="29332"/>
    <n v="4399.8"/>
    <n v="24932.2"/>
    <n v="2025"/>
    <x v="9"/>
    <n v="3"/>
    <x v="2"/>
    <s v="Site Visit"/>
    <s v="Paid"/>
    <s v="Scheduled"/>
    <n v="4"/>
    <n v="7"/>
    <n v="4"/>
    <s v="Mar"/>
    <s v="Q1"/>
    <n v="2025"/>
  </r>
  <r>
    <s v="FN10580"/>
    <s v="CUST1580"/>
    <x v="0"/>
    <d v="2025-07-01T00:00:00"/>
    <s v="Commercial"/>
    <x v="1"/>
    <x v="3"/>
    <s v="Dealer"/>
    <s v="P008"/>
    <s v="Soundproof Windows"/>
    <s v="Windows"/>
    <n v="1"/>
    <n v="45082"/>
    <n v="0.2"/>
    <n v="45082"/>
    <n v="9016.4"/>
    <n v="36065.599999999999"/>
    <n v="2025"/>
    <x v="11"/>
    <n v="7"/>
    <x v="3"/>
    <s v="Negotiation"/>
    <s v="Partially Paid"/>
    <s v="Delayed"/>
    <n v="1"/>
    <n v="16"/>
    <n v="2"/>
    <s v="Jul"/>
    <s v="Q3"/>
    <n v="2025"/>
  </r>
  <r>
    <s v="FN10581"/>
    <s v="CUST1581"/>
    <x v="1"/>
    <d v="2025-05-13T00:00:00"/>
    <s v="Commercial"/>
    <x v="2"/>
    <x v="0"/>
    <s v="Facebook"/>
    <s v="P006"/>
    <s v="Bi-Fold Doors"/>
    <s v="Doors"/>
    <n v="1"/>
    <n v="62623"/>
    <n v="0.15"/>
    <n v="62623"/>
    <n v="9393.4500000000007"/>
    <n v="53229.55"/>
    <n v="2025"/>
    <x v="4"/>
    <n v="5"/>
    <x v="1"/>
    <s v="Negotiation"/>
    <s v="Paid"/>
    <s v="Completed"/>
    <n v="2"/>
    <n v="15"/>
    <n v="5"/>
    <s v="May"/>
    <s v="Q2"/>
    <n v="2025"/>
  </r>
  <r>
    <s v="FN10582"/>
    <s v="CUST1582"/>
    <x v="3"/>
    <d v="2025-10-14T00:00:00"/>
    <s v="Residential"/>
    <x v="0"/>
    <x v="6"/>
    <s v="Dealer"/>
    <s v="P001"/>
    <s v="uPVC Windows"/>
    <s v="Windows"/>
    <n v="3"/>
    <n v="18682"/>
    <n v="0.15"/>
    <n v="56046"/>
    <n v="8406.9"/>
    <n v="47639.1"/>
    <n v="2025"/>
    <x v="0"/>
    <n v="10"/>
    <x v="0"/>
    <s v="Converted"/>
    <s v="Pending"/>
    <s v="Completed"/>
    <n v="1"/>
    <n v="7"/>
    <n v="3"/>
    <s v="Oct"/>
    <s v="Q4"/>
    <n v="2025"/>
  </r>
  <r>
    <s v="FN10583"/>
    <s v="CUST1583"/>
    <x v="5"/>
    <d v="2025-04-23T00:00:00"/>
    <s v="Residential"/>
    <x v="0"/>
    <x v="1"/>
    <s v="Referral"/>
    <s v="P004"/>
    <s v="French Doors"/>
    <s v="Doors"/>
    <n v="4"/>
    <n v="45056"/>
    <n v="0.15"/>
    <n v="180224"/>
    <n v="27033.599999999999"/>
    <n v="153190.39999999999"/>
    <n v="2025"/>
    <x v="5"/>
    <n v="4"/>
    <x v="1"/>
    <s v="Site Visit"/>
    <s v="Pending"/>
    <s v="Completed"/>
    <n v="6"/>
    <n v="21"/>
    <n v="5"/>
    <s v="Apr"/>
    <s v="Q2"/>
    <n v="2025"/>
  </r>
  <r>
    <s v="FN10584"/>
    <s v="CUST1584"/>
    <x v="7"/>
    <d v="2025-06-09T00:00:00"/>
    <s v="Residential"/>
    <x v="2"/>
    <x v="7"/>
    <s v="Google Ads"/>
    <s v="P007"/>
    <s v="uPVC Doors"/>
    <s v="Doors"/>
    <n v="2"/>
    <n v="30368"/>
    <n v="0.15"/>
    <n v="60736"/>
    <n v="9110.4"/>
    <n v="51625.599999999999"/>
    <n v="2025"/>
    <x v="1"/>
    <n v="6"/>
    <x v="1"/>
    <s v="Site Visit"/>
    <s v="Partially Paid"/>
    <s v="Completed"/>
    <n v="4"/>
    <n v="25"/>
    <n v="5"/>
    <s v="Jun"/>
    <s v="Q2"/>
    <n v="2025"/>
  </r>
  <r>
    <s v="FN10588"/>
    <s v="CUST1588"/>
    <x v="6"/>
    <d v="2025-06-08T00:00:00"/>
    <s v="Commercial"/>
    <x v="3"/>
    <x v="7"/>
    <s v="Website"/>
    <s v="P003"/>
    <s v="Sliding Doors"/>
    <s v="Doors"/>
    <n v="5"/>
    <n v="33537"/>
    <n v="0.15"/>
    <n v="167685"/>
    <n v="25152.75"/>
    <n v="142532.25"/>
    <n v="2025"/>
    <x v="1"/>
    <n v="6"/>
    <x v="1"/>
    <s v="Converted"/>
    <s v="Paid"/>
    <s v="Completed"/>
    <n v="2"/>
    <n v="20"/>
    <n v="5"/>
    <s v="Jun"/>
    <s v="Q2"/>
    <n v="2025"/>
  </r>
  <r>
    <s v="FN10591"/>
    <s v="CUST1591"/>
    <x v="7"/>
    <d v="2025-07-12T00:00:00"/>
    <s v="Residential"/>
    <x v="1"/>
    <x v="6"/>
    <s v="Walk-in"/>
    <s v="P007"/>
    <s v="uPVC Doors"/>
    <s v="Doors"/>
    <n v="3"/>
    <n v="28805"/>
    <n v="0.15"/>
    <n v="86415"/>
    <n v="12962.25"/>
    <n v="73452.75"/>
    <n v="2025"/>
    <x v="11"/>
    <n v="7"/>
    <x v="3"/>
    <s v="Negotiation"/>
    <s v="Paid"/>
    <s v="Completed"/>
    <n v="1"/>
    <n v="18"/>
    <n v="4"/>
    <s v="Jul"/>
    <s v="Q3"/>
    <n v="2025"/>
  </r>
  <r>
    <s v="FN10594"/>
    <s v="CUST1594"/>
    <x v="3"/>
    <d v="2025-10-02T00:00:00"/>
    <s v="Commercial"/>
    <x v="0"/>
    <x v="0"/>
    <s v="Dealer"/>
    <s v="P001"/>
    <s v="uPVC Windows"/>
    <s v="Windows"/>
    <n v="1"/>
    <n v="20306"/>
    <n v="0.15"/>
    <n v="20306"/>
    <n v="3045.9"/>
    <n v="17260.099999999999"/>
    <n v="2025"/>
    <x v="0"/>
    <n v="10"/>
    <x v="0"/>
    <s v="Converted"/>
    <s v="Partially Paid"/>
    <s v="Completed"/>
    <n v="5"/>
    <n v="29"/>
    <n v="4"/>
    <s v="Oct"/>
    <s v="Q4"/>
    <n v="2025"/>
  </r>
  <r>
    <s v="FN10595"/>
    <s v="CUST1595"/>
    <x v="0"/>
    <d v="2025-11-19T00:00:00"/>
    <s v="Commercial"/>
    <x v="3"/>
    <x v="0"/>
    <s v="Referral"/>
    <s v="P008"/>
    <s v="Soundproof Windows"/>
    <s v="Windows"/>
    <n v="3"/>
    <n v="53452"/>
    <n v="0.15"/>
    <n v="160356"/>
    <n v="24053.4"/>
    <n v="136302.6"/>
    <n v="2025"/>
    <x v="3"/>
    <n v="11"/>
    <x v="0"/>
    <s v="Converted"/>
    <s v="Pending"/>
    <s v="In Progress"/>
    <n v="1"/>
    <n v="25"/>
    <n v="4"/>
    <s v="Nov"/>
    <s v="Q4"/>
    <n v="2025"/>
  </r>
  <r>
    <s v="FN10599"/>
    <s v="CUST1599"/>
    <x v="2"/>
    <d v="2025-07-03T00:00:00"/>
    <s v="Residential"/>
    <x v="0"/>
    <x v="2"/>
    <s v="Google Ads"/>
    <s v="P002"/>
    <s v="Aluminium Windows"/>
    <s v="Windows"/>
    <n v="1"/>
    <n v="24787"/>
    <n v="0.1"/>
    <n v="24787"/>
    <n v="2478.6999999999998"/>
    <n v="22308.3"/>
    <n v="2025"/>
    <x v="11"/>
    <n v="7"/>
    <x v="3"/>
    <s v="Site Visit"/>
    <s v="Partially Paid"/>
    <s v="Completed"/>
    <n v="3"/>
    <n v="28"/>
    <n v="3"/>
    <s v="Jul"/>
    <s v="Q3"/>
    <n v="2025"/>
  </r>
  <r>
    <s v="FN10600"/>
    <s v="CUST1600"/>
    <x v="7"/>
    <d v="2025-04-19T00:00:00"/>
    <s v="Residential"/>
    <x v="0"/>
    <x v="5"/>
    <s v="Instagram"/>
    <s v="P007"/>
    <s v="uPVC Doors"/>
    <s v="Doors"/>
    <n v="4"/>
    <n v="32432"/>
    <n v="0.05"/>
    <n v="129728"/>
    <n v="6486.4"/>
    <n v="123241.60000000001"/>
    <n v="2025"/>
    <x v="5"/>
    <n v="4"/>
    <x v="1"/>
    <s v="Converted"/>
    <s v="Paid"/>
    <s v="Completed"/>
    <n v="2"/>
    <n v="12"/>
    <n v="4"/>
    <s v="Apr"/>
    <s v="Q2"/>
    <n v="2025"/>
  </r>
  <r>
    <s v="FN10601"/>
    <s v="CUST1601"/>
    <x v="6"/>
    <d v="2025-06-03T00:00:00"/>
    <s v="Residential"/>
    <x v="0"/>
    <x v="3"/>
    <s v="Website"/>
    <s v="P003"/>
    <s v="Sliding Doors"/>
    <s v="Doors"/>
    <n v="6"/>
    <n v="32073"/>
    <n v="0.1"/>
    <n v="192438"/>
    <n v="19243.8"/>
    <n v="173194.2"/>
    <n v="2025"/>
    <x v="1"/>
    <n v="6"/>
    <x v="1"/>
    <s v="New"/>
    <s v="Paid"/>
    <s v="Scheduled"/>
    <n v="5"/>
    <n v="28"/>
    <n v="2"/>
    <s v="Jun"/>
    <s v="Q2"/>
    <n v="2025"/>
  </r>
  <r>
    <s v="FN10604"/>
    <s v="CUST1604"/>
    <x v="6"/>
    <d v="2025-05-18T00:00:00"/>
    <s v="Commercial"/>
    <x v="2"/>
    <x v="3"/>
    <s v="Google Ads"/>
    <s v="P003"/>
    <s v="Sliding Doors"/>
    <s v="Doors"/>
    <n v="3"/>
    <n v="38526"/>
    <n v="0.05"/>
    <n v="115578"/>
    <n v="5778.9"/>
    <n v="109799.1"/>
    <n v="2025"/>
    <x v="4"/>
    <n v="5"/>
    <x v="1"/>
    <s v="Site Visit"/>
    <s v="Partially Paid"/>
    <s v="Completed"/>
    <n v="2"/>
    <n v="14"/>
    <n v="4"/>
    <s v="May"/>
    <s v="Q2"/>
    <n v="2025"/>
  </r>
  <r>
    <s v="FN10605"/>
    <s v="CUST1605"/>
    <x v="1"/>
    <d v="2025-08-19T00:00:00"/>
    <s v="Commercial"/>
    <x v="1"/>
    <x v="6"/>
    <s v="Website"/>
    <s v="P006"/>
    <s v="Bi-Fold Doors"/>
    <s v="Doors"/>
    <n v="4"/>
    <n v="52624"/>
    <n v="0.05"/>
    <n v="210496"/>
    <n v="10524.8"/>
    <n v="199971.20000000001"/>
    <n v="2025"/>
    <x v="8"/>
    <n v="8"/>
    <x v="3"/>
    <s v="Converted"/>
    <s v="Paid"/>
    <s v="Completed"/>
    <n v="5"/>
    <n v="8"/>
    <n v="4"/>
    <s v="Aug"/>
    <s v="Q3"/>
    <n v="2025"/>
  </r>
  <r>
    <s v="FN10606"/>
    <s v="CUST1606"/>
    <x v="0"/>
    <d v="2025-05-30T00:00:00"/>
    <s v="Residential"/>
    <x v="2"/>
    <x v="1"/>
    <s v="Dealer"/>
    <s v="P008"/>
    <s v="Soundproof Windows"/>
    <s v="Windows"/>
    <n v="2"/>
    <n v="53084"/>
    <n v="0.15"/>
    <n v="106168"/>
    <n v="15925.2"/>
    <n v="90242.8"/>
    <n v="2025"/>
    <x v="4"/>
    <n v="5"/>
    <x v="1"/>
    <s v="Converted"/>
    <s v="Paid"/>
    <s v="In Progress"/>
    <n v="3"/>
    <n v="9"/>
    <n v="5"/>
    <s v="May"/>
    <s v="Q2"/>
    <n v="2025"/>
  </r>
  <r>
    <s v="FN10611"/>
    <s v="CUST1611"/>
    <x v="5"/>
    <d v="2025-09-02T00:00:00"/>
    <s v="Commercial"/>
    <x v="2"/>
    <x v="3"/>
    <s v="Dealer"/>
    <s v="P004"/>
    <s v="French Doors"/>
    <s v="Doors"/>
    <n v="2"/>
    <n v="40816"/>
    <n v="0.1"/>
    <n v="81632"/>
    <n v="8163.2"/>
    <n v="73468.800000000003"/>
    <n v="2025"/>
    <x v="6"/>
    <n v="9"/>
    <x v="3"/>
    <s v="Negotiation"/>
    <s v="Pending"/>
    <s v="Completed"/>
    <n v="5"/>
    <n v="22"/>
    <n v="4"/>
    <s v="Sep"/>
    <s v="Q3"/>
    <n v="2025"/>
  </r>
  <r>
    <s v="FN10613"/>
    <s v="CUST1613"/>
    <x v="1"/>
    <d v="2025-12-06T00:00:00"/>
    <s v="Residential"/>
    <x v="1"/>
    <x v="2"/>
    <s v="Instagram"/>
    <s v="P006"/>
    <s v="Bi-Fold Doors"/>
    <s v="Doors"/>
    <n v="1"/>
    <n v="50965"/>
    <n v="0.1"/>
    <n v="50965"/>
    <n v="5096.5"/>
    <n v="45868.5"/>
    <n v="2025"/>
    <x v="7"/>
    <n v="12"/>
    <x v="0"/>
    <s v="Lost"/>
    <s v="Paid"/>
    <s v="Completed"/>
    <n v="2"/>
    <n v="17"/>
    <n v="4"/>
    <s v="Dec"/>
    <s v="Q4"/>
    <n v="2025"/>
  </r>
  <r>
    <s v="FN10614"/>
    <s v="CUST1614"/>
    <x v="5"/>
    <d v="2025-10-25T00:00:00"/>
    <s v="Residential"/>
    <x v="3"/>
    <x v="6"/>
    <s v="Google Ads"/>
    <s v="P004"/>
    <s v="French Doors"/>
    <s v="Doors"/>
    <n v="3"/>
    <n v="43421"/>
    <n v="0.15"/>
    <n v="130263"/>
    <n v="19539.45"/>
    <n v="110723.55"/>
    <n v="2025"/>
    <x v="0"/>
    <n v="10"/>
    <x v="0"/>
    <s v="New"/>
    <s v="Paid"/>
    <s v="Completed"/>
    <n v="6"/>
    <n v="21"/>
    <n v="5"/>
    <s v="Oct"/>
    <s v="Q4"/>
    <n v="2025"/>
  </r>
  <r>
    <s v="FN10615"/>
    <s v="CUST1615"/>
    <x v="0"/>
    <d v="2025-05-10T00:00:00"/>
    <s v="Commercial"/>
    <x v="1"/>
    <x v="1"/>
    <s v="Website"/>
    <s v="P008"/>
    <s v="Soundproof Windows"/>
    <s v="Windows"/>
    <n v="5"/>
    <n v="43856"/>
    <n v="0.1"/>
    <n v="219280"/>
    <n v="21928"/>
    <n v="197352"/>
    <n v="2025"/>
    <x v="4"/>
    <n v="5"/>
    <x v="1"/>
    <s v="New"/>
    <s v="Pending"/>
    <s v="Delayed"/>
    <n v="2"/>
    <n v="26"/>
    <n v="3"/>
    <s v="May"/>
    <s v="Q2"/>
    <n v="2025"/>
  </r>
  <r>
    <s v="FN10618"/>
    <s v="CUST1618"/>
    <x v="7"/>
    <d v="2025-03-09T00:00:00"/>
    <s v="Commercial"/>
    <x v="3"/>
    <x v="3"/>
    <s v="Instagram"/>
    <s v="P007"/>
    <s v="uPVC Doors"/>
    <s v="Doors"/>
    <n v="5"/>
    <n v="31492"/>
    <n v="0"/>
    <n v="157460"/>
    <n v="0"/>
    <n v="157460"/>
    <n v="2025"/>
    <x v="9"/>
    <n v="3"/>
    <x v="2"/>
    <s v="New"/>
    <s v="Partially Paid"/>
    <s v="Completed"/>
    <n v="7"/>
    <n v="15"/>
    <n v="5"/>
    <s v="Mar"/>
    <s v="Q1"/>
    <n v="2025"/>
  </r>
  <r>
    <s v="FN10619"/>
    <s v="CUST1619"/>
    <x v="3"/>
    <d v="2025-04-14T00:00:00"/>
    <s v="Commercial"/>
    <x v="1"/>
    <x v="1"/>
    <s v="Instagram"/>
    <s v="P001"/>
    <s v="uPVC Windows"/>
    <s v="Windows"/>
    <n v="3"/>
    <n v="19052"/>
    <n v="0"/>
    <n v="57156"/>
    <n v="0"/>
    <n v="57156"/>
    <n v="2025"/>
    <x v="5"/>
    <n v="4"/>
    <x v="1"/>
    <s v="Converted"/>
    <s v="Paid"/>
    <s v="Completed"/>
    <n v="5"/>
    <n v="29"/>
    <n v="3"/>
    <s v="Apr"/>
    <s v="Q2"/>
    <n v="2025"/>
  </r>
  <r>
    <s v="FN10621"/>
    <s v="CUST1621"/>
    <x v="5"/>
    <d v="2025-04-15T00:00:00"/>
    <s v="Residential"/>
    <x v="2"/>
    <x v="5"/>
    <s v="Instagram"/>
    <s v="P004"/>
    <s v="French Doors"/>
    <s v="Doors"/>
    <n v="1"/>
    <n v="39961"/>
    <n v="0.05"/>
    <n v="39961"/>
    <n v="1998.05"/>
    <n v="37962.949999999997"/>
    <n v="2025"/>
    <x v="5"/>
    <n v="4"/>
    <x v="1"/>
    <s v="Lost"/>
    <s v="Paid"/>
    <s v="Completed"/>
    <n v="3"/>
    <n v="6"/>
    <n v="5"/>
    <s v="Apr"/>
    <s v="Q2"/>
    <n v="2025"/>
  </r>
  <r>
    <s v="FN10622"/>
    <s v="CUST1622"/>
    <x v="3"/>
    <d v="2025-10-12T00:00:00"/>
    <s v="Residential"/>
    <x v="2"/>
    <x v="7"/>
    <s v="Google Ads"/>
    <s v="P001"/>
    <s v="uPVC Windows"/>
    <s v="Windows"/>
    <n v="2"/>
    <n v="19957"/>
    <n v="0.15"/>
    <n v="39914"/>
    <n v="5987.1"/>
    <n v="33926.9"/>
    <n v="2025"/>
    <x v="0"/>
    <n v="10"/>
    <x v="0"/>
    <s v="Converted"/>
    <s v="Pending"/>
    <s v="Completed"/>
    <n v="1"/>
    <n v="23"/>
    <n v="5"/>
    <s v="Oct"/>
    <s v="Q4"/>
    <n v="2025"/>
  </r>
  <r>
    <s v="FN10626"/>
    <s v="CUST1626"/>
    <x v="4"/>
    <d v="2025-03-18T00:00:00"/>
    <s v="Commercial"/>
    <x v="2"/>
    <x v="4"/>
    <s v="Google Ads"/>
    <s v="P005"/>
    <s v="Casement Windows"/>
    <s v="Windows"/>
    <n v="2"/>
    <n v="27100"/>
    <n v="0.05"/>
    <n v="54200"/>
    <n v="2710"/>
    <n v="51490"/>
    <n v="2025"/>
    <x v="9"/>
    <n v="3"/>
    <x v="2"/>
    <s v="Negotiation"/>
    <s v="Paid"/>
    <s v="Completed"/>
    <n v="7"/>
    <n v="5"/>
    <n v="5"/>
    <s v="Mar"/>
    <s v="Q1"/>
    <n v="2025"/>
  </r>
  <r>
    <s v="FN10627"/>
    <s v="CUST1627"/>
    <x v="1"/>
    <d v="2025-05-21T00:00:00"/>
    <s v="Commercial"/>
    <x v="1"/>
    <x v="3"/>
    <s v="Facebook"/>
    <s v="P006"/>
    <s v="Bi-Fold Doors"/>
    <s v="Doors"/>
    <n v="6"/>
    <n v="61634"/>
    <n v="0"/>
    <n v="369804"/>
    <n v="0"/>
    <n v="369804"/>
    <n v="2025"/>
    <x v="4"/>
    <n v="5"/>
    <x v="1"/>
    <s v="Converted"/>
    <s v="Paid"/>
    <s v="Scheduled"/>
    <n v="6"/>
    <n v="20"/>
    <n v="4"/>
    <s v="May"/>
    <s v="Q2"/>
    <n v="2025"/>
  </r>
  <r>
    <s v="FN10628"/>
    <s v="CUST1628"/>
    <x v="3"/>
    <d v="2025-03-04T00:00:00"/>
    <s v="Residential"/>
    <x v="2"/>
    <x v="1"/>
    <s v="Referral"/>
    <s v="P001"/>
    <s v="uPVC Windows"/>
    <s v="Windows"/>
    <n v="6"/>
    <n v="20501"/>
    <n v="0.1"/>
    <n v="123006"/>
    <n v="12300.6"/>
    <n v="110705.4"/>
    <n v="2025"/>
    <x v="9"/>
    <n v="3"/>
    <x v="2"/>
    <s v="Negotiation"/>
    <s v="Paid"/>
    <s v="Completed"/>
    <n v="6"/>
    <n v="5"/>
    <n v="5"/>
    <s v="Mar"/>
    <s v="Q1"/>
    <n v="2025"/>
  </r>
  <r>
    <s v="FN10630"/>
    <s v="CUST1630"/>
    <x v="6"/>
    <d v="2025-03-07T00:00:00"/>
    <s v="Commercial"/>
    <x v="1"/>
    <x v="5"/>
    <s v="Website"/>
    <s v="P003"/>
    <s v="Sliding Doors"/>
    <s v="Doors"/>
    <n v="6"/>
    <n v="36195"/>
    <n v="0.2"/>
    <n v="217170"/>
    <n v="43434"/>
    <n v="173736"/>
    <n v="2025"/>
    <x v="9"/>
    <n v="3"/>
    <x v="2"/>
    <s v="Converted"/>
    <s v="Paid"/>
    <s v="Completed"/>
    <n v="6"/>
    <n v="20"/>
    <n v="5"/>
    <s v="Mar"/>
    <s v="Q1"/>
    <n v="2025"/>
  </r>
  <r>
    <s v="FN10632"/>
    <s v="CUST1632"/>
    <x v="6"/>
    <d v="2025-04-23T00:00:00"/>
    <s v="Residential"/>
    <x v="3"/>
    <x v="1"/>
    <s v="Instagram"/>
    <s v="P003"/>
    <s v="Sliding Doors"/>
    <s v="Doors"/>
    <n v="5"/>
    <n v="38209"/>
    <n v="0.05"/>
    <n v="191045"/>
    <n v="9552.25"/>
    <n v="181492.75"/>
    <n v="2025"/>
    <x v="5"/>
    <n v="4"/>
    <x v="1"/>
    <s v="Converted"/>
    <s v="Paid"/>
    <s v="Completed"/>
    <n v="3"/>
    <n v="13"/>
    <n v="5"/>
    <s v="Apr"/>
    <s v="Q2"/>
    <n v="2025"/>
  </r>
  <r>
    <s v="FN10637"/>
    <s v="CUST1637"/>
    <x v="1"/>
    <d v="2025-09-14T00:00:00"/>
    <s v="Commercial"/>
    <x v="3"/>
    <x v="2"/>
    <s v="Dealer"/>
    <s v="P006"/>
    <s v="Bi-Fold Doors"/>
    <s v="Doors"/>
    <n v="2"/>
    <n v="62023"/>
    <n v="0.2"/>
    <n v="124046"/>
    <n v="24809.200000000001"/>
    <n v="99236.800000000003"/>
    <n v="2025"/>
    <x v="6"/>
    <n v="9"/>
    <x v="3"/>
    <s v="Negotiation"/>
    <s v="Paid"/>
    <s v="Completed"/>
    <n v="2"/>
    <n v="6"/>
    <n v="3"/>
    <s v="Sep"/>
    <s v="Q3"/>
    <n v="2025"/>
  </r>
  <r>
    <s v="FN10638"/>
    <s v="CUST1638"/>
    <x v="6"/>
    <d v="2025-08-03T00:00:00"/>
    <s v="Commercial"/>
    <x v="3"/>
    <x v="4"/>
    <s v="Google Ads"/>
    <s v="P003"/>
    <s v="Sliding Doors"/>
    <s v="Doors"/>
    <n v="1"/>
    <n v="31617"/>
    <n v="0"/>
    <n v="31617"/>
    <n v="0"/>
    <n v="31617"/>
    <n v="2025"/>
    <x v="8"/>
    <n v="8"/>
    <x v="3"/>
    <s v="New"/>
    <s v="Paid"/>
    <s v="Scheduled"/>
    <n v="1"/>
    <n v="21"/>
    <n v="4"/>
    <s v="Aug"/>
    <s v="Q3"/>
    <n v="2025"/>
  </r>
  <r>
    <s v="FN10640"/>
    <s v="CUST1640"/>
    <x v="5"/>
    <d v="2025-03-06T00:00:00"/>
    <s v="Residential"/>
    <x v="2"/>
    <x v="4"/>
    <s v="Google Ads"/>
    <s v="P004"/>
    <s v="French Doors"/>
    <s v="Doors"/>
    <n v="1"/>
    <n v="38253"/>
    <n v="0.05"/>
    <n v="38253"/>
    <n v="1912.65"/>
    <n v="36340.35"/>
    <n v="2025"/>
    <x v="9"/>
    <n v="3"/>
    <x v="2"/>
    <s v="Negotiation"/>
    <s v="Paid"/>
    <s v="Delayed"/>
    <n v="4"/>
    <n v="25"/>
    <n v="5"/>
    <s v="Mar"/>
    <s v="Q1"/>
    <n v="2025"/>
  </r>
  <r>
    <s v="FN10641"/>
    <s v="CUST1641"/>
    <x v="7"/>
    <d v="2025-11-26T00:00:00"/>
    <s v="Commercial"/>
    <x v="1"/>
    <x v="5"/>
    <s v="Google Ads"/>
    <s v="P007"/>
    <s v="uPVC Doors"/>
    <s v="Doors"/>
    <n v="6"/>
    <n v="28962"/>
    <n v="0"/>
    <n v="173772"/>
    <n v="0"/>
    <n v="173772"/>
    <n v="2025"/>
    <x v="3"/>
    <n v="11"/>
    <x v="0"/>
    <s v="New"/>
    <s v="Paid"/>
    <s v="In Progress"/>
    <n v="7"/>
    <n v="7"/>
    <n v="4"/>
    <s v="Nov"/>
    <s v="Q4"/>
    <n v="2025"/>
  </r>
  <r>
    <s v="FN10642"/>
    <s v="CUST1642"/>
    <x v="7"/>
    <d v="2025-08-01T00:00:00"/>
    <s v="Residential"/>
    <x v="1"/>
    <x v="7"/>
    <s v="Google Ads"/>
    <s v="P007"/>
    <s v="uPVC Doors"/>
    <s v="Doors"/>
    <n v="4"/>
    <n v="32907"/>
    <n v="0.05"/>
    <n v="131628"/>
    <n v="6581.4"/>
    <n v="125046.6"/>
    <n v="2025"/>
    <x v="8"/>
    <n v="8"/>
    <x v="3"/>
    <s v="Site Visit"/>
    <s v="Paid"/>
    <s v="Scheduled"/>
    <n v="4"/>
    <n v="26"/>
    <n v="5"/>
    <s v="Aug"/>
    <s v="Q3"/>
    <n v="2025"/>
  </r>
  <r>
    <s v="FN10643"/>
    <s v="CUST1643"/>
    <x v="2"/>
    <d v="2025-08-06T00:00:00"/>
    <s v="Residential"/>
    <x v="2"/>
    <x v="5"/>
    <s v="Facebook"/>
    <s v="P002"/>
    <s v="Aluminium Windows"/>
    <s v="Windows"/>
    <n v="6"/>
    <n v="24011"/>
    <n v="0"/>
    <n v="144066"/>
    <n v="0"/>
    <n v="144066"/>
    <n v="2025"/>
    <x v="8"/>
    <n v="8"/>
    <x v="3"/>
    <s v="Site Visit"/>
    <s v="Pending"/>
    <s v="In Progress"/>
    <n v="6"/>
    <n v="11"/>
    <n v="5"/>
    <s v="Aug"/>
    <s v="Q3"/>
    <n v="2025"/>
  </r>
  <r>
    <s v="FN10644"/>
    <s v="CUST1644"/>
    <x v="1"/>
    <d v="2025-08-22T00:00:00"/>
    <s v="Residential"/>
    <x v="1"/>
    <x v="4"/>
    <s v="Google Ads"/>
    <s v="P006"/>
    <s v="Bi-Fold Doors"/>
    <s v="Doors"/>
    <n v="3"/>
    <n v="61419"/>
    <n v="0.1"/>
    <n v="184257"/>
    <n v="18425.7"/>
    <n v="165831.29999999999"/>
    <n v="2025"/>
    <x v="8"/>
    <n v="8"/>
    <x v="3"/>
    <s v="Lost"/>
    <s v="Paid"/>
    <s v="Scheduled"/>
    <n v="4"/>
    <n v="6"/>
    <n v="5"/>
    <s v="Aug"/>
    <s v="Q3"/>
    <n v="2025"/>
  </r>
  <r>
    <s v="FN10646"/>
    <s v="CUST1646"/>
    <x v="1"/>
    <d v="2025-09-28T00:00:00"/>
    <s v="Commercial"/>
    <x v="2"/>
    <x v="5"/>
    <s v="Google Ads"/>
    <s v="P006"/>
    <s v="Bi-Fold Doors"/>
    <s v="Doors"/>
    <n v="6"/>
    <n v="53823"/>
    <n v="0.1"/>
    <n v="322938"/>
    <n v="32293.8"/>
    <n v="290644.2"/>
    <n v="2025"/>
    <x v="6"/>
    <n v="9"/>
    <x v="3"/>
    <s v="Negotiation"/>
    <s v="Partially Paid"/>
    <s v="In Progress"/>
    <n v="3"/>
    <n v="25"/>
    <n v="5"/>
    <s v="Sep"/>
    <s v="Q3"/>
    <n v="2025"/>
  </r>
  <r>
    <s v="FN10650"/>
    <s v="CUST1650"/>
    <x v="6"/>
    <d v="2025-02-25T00:00:00"/>
    <s v="Residential"/>
    <x v="1"/>
    <x v="1"/>
    <s v="Dealer"/>
    <s v="P003"/>
    <s v="Sliding Doors"/>
    <s v="Doors"/>
    <n v="2"/>
    <n v="39156"/>
    <n v="0"/>
    <n v="78312"/>
    <n v="0"/>
    <n v="78312"/>
    <n v="2025"/>
    <x v="2"/>
    <n v="2"/>
    <x v="2"/>
    <s v="Negotiation"/>
    <s v="Paid"/>
    <s v="Scheduled"/>
    <n v="4"/>
    <n v="30"/>
    <n v="5"/>
    <s v="Feb"/>
    <s v="Q1"/>
    <n v="2025"/>
  </r>
  <r>
    <s v="FN10652"/>
    <s v="CUST1652"/>
    <x v="6"/>
    <d v="2025-12-31T00:00:00"/>
    <s v="Residential"/>
    <x v="0"/>
    <x v="2"/>
    <s v="Website"/>
    <s v="P003"/>
    <s v="Sliding Doors"/>
    <s v="Doors"/>
    <n v="2"/>
    <n v="39331"/>
    <n v="0.2"/>
    <n v="78662"/>
    <n v="15732.4"/>
    <n v="62929.599999999999"/>
    <n v="2025"/>
    <x v="7"/>
    <n v="12"/>
    <x v="0"/>
    <s v="Lost"/>
    <s v="Paid"/>
    <s v="Completed"/>
    <n v="5"/>
    <n v="11"/>
    <n v="2"/>
    <s v="Dec"/>
    <s v="Q4"/>
    <n v="2025"/>
  </r>
  <r>
    <s v="FN10653"/>
    <s v="CUST1653"/>
    <x v="3"/>
    <d v="2025-07-06T00:00:00"/>
    <s v="Residential"/>
    <x v="2"/>
    <x v="5"/>
    <s v="Website"/>
    <s v="P001"/>
    <s v="uPVC Windows"/>
    <s v="Windows"/>
    <n v="4"/>
    <n v="18330"/>
    <n v="0.1"/>
    <n v="73320"/>
    <n v="7332"/>
    <n v="65988"/>
    <n v="2025"/>
    <x v="11"/>
    <n v="7"/>
    <x v="3"/>
    <s v="Converted"/>
    <s v="Pending"/>
    <s v="Scheduled"/>
    <n v="7"/>
    <n v="8"/>
    <n v="4"/>
    <s v="Jul"/>
    <s v="Q3"/>
    <n v="2025"/>
  </r>
  <r>
    <s v="FN10654"/>
    <s v="CUST1654"/>
    <x v="6"/>
    <d v="2025-06-14T00:00:00"/>
    <s v="Residential"/>
    <x v="0"/>
    <x v="6"/>
    <s v="Referral"/>
    <s v="P003"/>
    <s v="Sliding Doors"/>
    <s v="Doors"/>
    <n v="6"/>
    <n v="31990"/>
    <n v="0.1"/>
    <n v="191940"/>
    <n v="19194"/>
    <n v="172746"/>
    <n v="2025"/>
    <x v="1"/>
    <n v="6"/>
    <x v="1"/>
    <s v="New"/>
    <s v="Pending"/>
    <s v="Completed"/>
    <n v="6"/>
    <n v="15"/>
    <n v="4"/>
    <s v="Jun"/>
    <s v="Q2"/>
    <n v="2025"/>
  </r>
  <r>
    <s v="FN10656"/>
    <s v="CUST1656"/>
    <x v="4"/>
    <d v="2025-06-24T00:00:00"/>
    <s v="Residential"/>
    <x v="0"/>
    <x v="4"/>
    <s v="Google Ads"/>
    <s v="P005"/>
    <s v="Casement Windows"/>
    <s v="Windows"/>
    <n v="3"/>
    <n v="25910"/>
    <n v="0.1"/>
    <n v="77730"/>
    <n v="7773"/>
    <n v="69957"/>
    <n v="2025"/>
    <x v="1"/>
    <n v="6"/>
    <x v="1"/>
    <s v="Lost"/>
    <s v="Partially Paid"/>
    <s v="Completed"/>
    <n v="2"/>
    <n v="22"/>
    <n v="5"/>
    <s v="Jun"/>
    <s v="Q2"/>
    <n v="2025"/>
  </r>
  <r>
    <s v="FN10657"/>
    <s v="CUST1657"/>
    <x v="4"/>
    <d v="2025-03-01T00:00:00"/>
    <s v="Commercial"/>
    <x v="1"/>
    <x v="5"/>
    <s v="Walk-in"/>
    <s v="P005"/>
    <s v="Casement Windows"/>
    <s v="Windows"/>
    <n v="5"/>
    <n v="28329"/>
    <n v="0.1"/>
    <n v="141645"/>
    <n v="14164.5"/>
    <n v="127480.5"/>
    <n v="2025"/>
    <x v="9"/>
    <n v="3"/>
    <x v="2"/>
    <s v="Converted"/>
    <s v="Partially Paid"/>
    <s v="Completed"/>
    <n v="6"/>
    <n v="29"/>
    <n v="4"/>
    <s v="Mar"/>
    <s v="Q1"/>
    <n v="2025"/>
  </r>
  <r>
    <s v="FN10658"/>
    <s v="CUST1658"/>
    <x v="0"/>
    <d v="2025-02-25T00:00:00"/>
    <s v="Commercial"/>
    <x v="1"/>
    <x v="6"/>
    <s v="Website"/>
    <s v="P008"/>
    <s v="Soundproof Windows"/>
    <s v="Windows"/>
    <n v="1"/>
    <n v="47292"/>
    <n v="0.2"/>
    <n v="47292"/>
    <n v="9458.4"/>
    <n v="37833.599999999999"/>
    <n v="2025"/>
    <x v="2"/>
    <n v="2"/>
    <x v="2"/>
    <s v="Negotiation"/>
    <s v="Paid"/>
    <s v="Scheduled"/>
    <n v="3"/>
    <n v="15"/>
    <n v="4"/>
    <s v="Feb"/>
    <s v="Q1"/>
    <n v="2025"/>
  </r>
  <r>
    <s v="FN10659"/>
    <s v="CUST1659"/>
    <x v="2"/>
    <d v="2025-11-25T00:00:00"/>
    <s v="Residential"/>
    <x v="1"/>
    <x v="2"/>
    <s v="Referral"/>
    <s v="P002"/>
    <s v="Aluminium Windows"/>
    <s v="Windows"/>
    <n v="1"/>
    <n v="22166"/>
    <n v="0.05"/>
    <n v="22166"/>
    <n v="1108.3"/>
    <n v="21057.7"/>
    <n v="2025"/>
    <x v="3"/>
    <n v="11"/>
    <x v="0"/>
    <s v="New"/>
    <s v="Pending"/>
    <s v="Completed"/>
    <n v="4"/>
    <n v="21"/>
    <n v="1"/>
    <s v="Nov"/>
    <s v="Q4"/>
    <n v="2025"/>
  </r>
  <r>
    <s v="FN10661"/>
    <s v="CUST1661"/>
    <x v="1"/>
    <d v="2025-03-30T00:00:00"/>
    <s v="Residential"/>
    <x v="2"/>
    <x v="5"/>
    <s v="Walk-in"/>
    <s v="P006"/>
    <s v="Bi-Fold Doors"/>
    <s v="Doors"/>
    <n v="4"/>
    <n v="59164"/>
    <n v="0"/>
    <n v="236656"/>
    <n v="0"/>
    <n v="236656"/>
    <n v="2025"/>
    <x v="9"/>
    <n v="3"/>
    <x v="2"/>
    <s v="Site Visit"/>
    <s v="Paid"/>
    <s v="In Progress"/>
    <n v="1"/>
    <n v="17"/>
    <n v="2"/>
    <s v="Mar"/>
    <s v="Q1"/>
    <n v="2025"/>
  </r>
  <r>
    <s v="FN10664"/>
    <s v="CUST1664"/>
    <x v="6"/>
    <d v="2025-05-02T00:00:00"/>
    <s v="Commercial"/>
    <x v="3"/>
    <x v="3"/>
    <s v="Referral"/>
    <s v="P003"/>
    <s v="Sliding Doors"/>
    <s v="Doors"/>
    <n v="1"/>
    <n v="39775"/>
    <n v="0.05"/>
    <n v="39775"/>
    <n v="1988.75"/>
    <n v="37786.25"/>
    <n v="2025"/>
    <x v="4"/>
    <n v="5"/>
    <x v="1"/>
    <s v="Converted"/>
    <s v="Paid"/>
    <s v="Scheduled"/>
    <n v="1"/>
    <n v="12"/>
    <n v="4"/>
    <s v="May"/>
    <s v="Q2"/>
    <n v="2025"/>
  </r>
  <r>
    <s v="FN10665"/>
    <s v="CUST1665"/>
    <x v="4"/>
    <d v="2025-05-17T00:00:00"/>
    <s v="Residential"/>
    <x v="0"/>
    <x v="5"/>
    <s v="Referral"/>
    <s v="P005"/>
    <s v="Casement Windows"/>
    <s v="Windows"/>
    <n v="5"/>
    <n v="26745"/>
    <n v="0"/>
    <n v="133725"/>
    <n v="0"/>
    <n v="133725"/>
    <n v="2025"/>
    <x v="4"/>
    <n v="5"/>
    <x v="1"/>
    <s v="Converted"/>
    <s v="Paid"/>
    <s v="Completed"/>
    <n v="1"/>
    <n v="11"/>
    <n v="3"/>
    <s v="May"/>
    <s v="Q2"/>
    <n v="2025"/>
  </r>
  <r>
    <s v="FN10669"/>
    <s v="CUST1669"/>
    <x v="7"/>
    <d v="2025-02-14T00:00:00"/>
    <s v="Commercial"/>
    <x v="0"/>
    <x v="1"/>
    <s v="Referral"/>
    <s v="P007"/>
    <s v="uPVC Doors"/>
    <s v="Doors"/>
    <n v="4"/>
    <n v="30871"/>
    <n v="0.05"/>
    <n v="123484"/>
    <n v="6174.2"/>
    <n v="117309.8"/>
    <n v="2025"/>
    <x v="2"/>
    <n v="2"/>
    <x v="2"/>
    <s v="Converted"/>
    <s v="Paid"/>
    <s v="Completed"/>
    <n v="7"/>
    <n v="9"/>
    <n v="3"/>
    <s v="Feb"/>
    <s v="Q1"/>
    <n v="2025"/>
  </r>
  <r>
    <s v="FN10671"/>
    <s v="CUST1671"/>
    <x v="5"/>
    <d v="2025-01-01T00:00:00"/>
    <s v="Residential"/>
    <x v="1"/>
    <x v="2"/>
    <s v="Walk-in"/>
    <s v="P004"/>
    <s v="French Doors"/>
    <s v="Doors"/>
    <n v="3"/>
    <n v="43264"/>
    <n v="0.15"/>
    <n v="129792"/>
    <n v="19468.8"/>
    <n v="110323.2"/>
    <n v="2025"/>
    <x v="10"/>
    <n v="1"/>
    <x v="2"/>
    <s v="New"/>
    <s v="Partially Paid"/>
    <s v="Completed"/>
    <n v="2"/>
    <n v="5"/>
    <n v="4"/>
    <s v="Jan"/>
    <s v="Q1"/>
    <n v="2025"/>
  </r>
  <r>
    <s v="FN10672"/>
    <s v="CUST1672"/>
    <x v="6"/>
    <d v="2025-12-07T00:00:00"/>
    <s v="Residential"/>
    <x v="3"/>
    <x v="4"/>
    <s v="Google Ads"/>
    <s v="P003"/>
    <s v="Sliding Doors"/>
    <s v="Doors"/>
    <n v="1"/>
    <n v="33740"/>
    <n v="0.1"/>
    <n v="33740"/>
    <n v="3374"/>
    <n v="30366"/>
    <n v="2025"/>
    <x v="7"/>
    <n v="12"/>
    <x v="0"/>
    <s v="Converted"/>
    <s v="Paid"/>
    <s v="In Progress"/>
    <n v="1"/>
    <n v="19"/>
    <n v="4"/>
    <s v="Dec"/>
    <s v="Q4"/>
    <n v="2025"/>
  </r>
  <r>
    <s v="FN10673"/>
    <s v="CUST1673"/>
    <x v="6"/>
    <d v="2025-09-01T00:00:00"/>
    <s v="Commercial"/>
    <x v="2"/>
    <x v="6"/>
    <s v="Website"/>
    <s v="P003"/>
    <s v="Sliding Doors"/>
    <s v="Doors"/>
    <n v="5"/>
    <n v="34304"/>
    <n v="0.2"/>
    <n v="171520"/>
    <n v="34304"/>
    <n v="137216"/>
    <n v="2025"/>
    <x v="6"/>
    <n v="9"/>
    <x v="3"/>
    <s v="Converted"/>
    <s v="Pending"/>
    <s v="In Progress"/>
    <n v="6"/>
    <n v="21"/>
    <n v="5"/>
    <s v="Sep"/>
    <s v="Q3"/>
    <n v="2025"/>
  </r>
  <r>
    <s v="FN10675"/>
    <s v="CUST1675"/>
    <x v="6"/>
    <d v="2025-07-06T00:00:00"/>
    <s v="Residential"/>
    <x v="3"/>
    <x v="4"/>
    <s v="Walk-in"/>
    <s v="P003"/>
    <s v="Sliding Doors"/>
    <s v="Doors"/>
    <n v="2"/>
    <n v="31974"/>
    <n v="0.1"/>
    <n v="63948"/>
    <n v="6394.8"/>
    <n v="57553.2"/>
    <n v="2025"/>
    <x v="11"/>
    <n v="7"/>
    <x v="3"/>
    <s v="Site Visit"/>
    <s v="Paid"/>
    <s v="Delayed"/>
    <n v="3"/>
    <n v="11"/>
    <n v="2"/>
    <s v="Jul"/>
    <s v="Q3"/>
    <n v="2025"/>
  </r>
  <r>
    <s v="FN10676"/>
    <s v="CUST1676"/>
    <x v="1"/>
    <d v="2025-07-08T00:00:00"/>
    <s v="Residential"/>
    <x v="3"/>
    <x v="6"/>
    <s v="Walk-in"/>
    <s v="P006"/>
    <s v="Bi-Fold Doors"/>
    <s v="Doors"/>
    <n v="6"/>
    <n v="53235"/>
    <n v="0.05"/>
    <n v="319410"/>
    <n v="15970.5"/>
    <n v="303439.5"/>
    <n v="2025"/>
    <x v="11"/>
    <n v="7"/>
    <x v="3"/>
    <s v="New"/>
    <s v="Pending"/>
    <s v="Completed"/>
    <n v="4"/>
    <n v="6"/>
    <n v="5"/>
    <s v="Jul"/>
    <s v="Q3"/>
    <n v="2025"/>
  </r>
  <r>
    <s v="FN10677"/>
    <s v="CUST1677"/>
    <x v="3"/>
    <d v="2025-07-16T00:00:00"/>
    <s v="Commercial"/>
    <x v="3"/>
    <x v="0"/>
    <s v="Google Ads"/>
    <s v="P001"/>
    <s v="uPVC Windows"/>
    <s v="Windows"/>
    <n v="6"/>
    <n v="18705"/>
    <n v="0.2"/>
    <n v="112230"/>
    <n v="22446"/>
    <n v="89784"/>
    <n v="2025"/>
    <x v="11"/>
    <n v="7"/>
    <x v="3"/>
    <s v="Negotiation"/>
    <s v="Paid"/>
    <s v="Completed"/>
    <n v="5"/>
    <n v="27"/>
    <n v="5"/>
    <s v="Jul"/>
    <s v="Q3"/>
    <n v="2025"/>
  </r>
  <r>
    <s v="FN10678"/>
    <s v="CUST1678"/>
    <x v="2"/>
    <d v="2025-03-28T00:00:00"/>
    <s v="Commercial"/>
    <x v="1"/>
    <x v="5"/>
    <s v="Website"/>
    <s v="P002"/>
    <s v="Aluminium Windows"/>
    <s v="Windows"/>
    <n v="2"/>
    <n v="24313"/>
    <n v="0.05"/>
    <n v="48626"/>
    <n v="2431.3000000000002"/>
    <n v="46194.7"/>
    <n v="2025"/>
    <x v="9"/>
    <n v="3"/>
    <x v="2"/>
    <s v="Converted"/>
    <s v="Paid"/>
    <s v="Completed"/>
    <n v="3"/>
    <n v="20"/>
    <n v="5"/>
    <s v="Mar"/>
    <s v="Q1"/>
    <n v="2025"/>
  </r>
  <r>
    <s v="FN10679"/>
    <s v="CUST1679"/>
    <x v="1"/>
    <d v="2025-08-14T00:00:00"/>
    <s v="Commercial"/>
    <x v="3"/>
    <x v="3"/>
    <s v="Instagram"/>
    <s v="P006"/>
    <s v="Bi-Fold Doors"/>
    <s v="Doors"/>
    <n v="1"/>
    <n v="53268"/>
    <n v="0.15"/>
    <n v="53268"/>
    <n v="7990.2"/>
    <n v="45277.8"/>
    <n v="2025"/>
    <x v="8"/>
    <n v="8"/>
    <x v="3"/>
    <s v="Converted"/>
    <s v="Pending"/>
    <s v="Completed"/>
    <n v="1"/>
    <n v="25"/>
    <n v="5"/>
    <s v="Aug"/>
    <s v="Q3"/>
    <n v="2025"/>
  </r>
  <r>
    <s v="FN10680"/>
    <s v="CUST1680"/>
    <x v="5"/>
    <d v="2025-03-13T00:00:00"/>
    <s v="Residential"/>
    <x v="0"/>
    <x v="1"/>
    <s v="Dealer"/>
    <s v="P004"/>
    <s v="French Doors"/>
    <s v="Doors"/>
    <n v="2"/>
    <n v="46523"/>
    <n v="0.05"/>
    <n v="93046"/>
    <n v="4652.3"/>
    <n v="88393.7"/>
    <n v="2025"/>
    <x v="9"/>
    <n v="3"/>
    <x v="2"/>
    <s v="Converted"/>
    <s v="Partially Paid"/>
    <s v="Delayed"/>
    <n v="1"/>
    <n v="29"/>
    <n v="3"/>
    <s v="Mar"/>
    <s v="Q1"/>
    <n v="2025"/>
  </r>
  <r>
    <s v="FN10682"/>
    <s v="CUST1682"/>
    <x v="2"/>
    <d v="2025-04-20T00:00:00"/>
    <s v="Residential"/>
    <x v="3"/>
    <x v="4"/>
    <s v="Referral"/>
    <s v="P002"/>
    <s v="Aluminium Windows"/>
    <s v="Windows"/>
    <n v="3"/>
    <n v="23269"/>
    <n v="0.05"/>
    <n v="69807"/>
    <n v="3490.35"/>
    <n v="66316.649999999994"/>
    <n v="2025"/>
    <x v="5"/>
    <n v="4"/>
    <x v="1"/>
    <s v="Converted"/>
    <s v="Pending"/>
    <s v="Completed"/>
    <n v="4"/>
    <n v="26"/>
    <n v="2"/>
    <s v="Apr"/>
    <s v="Q2"/>
    <n v="2025"/>
  </r>
  <r>
    <s v="FN10683"/>
    <s v="CUST1683"/>
    <x v="5"/>
    <d v="2025-07-03T00:00:00"/>
    <s v="Commercial"/>
    <x v="2"/>
    <x v="2"/>
    <s v="Facebook"/>
    <s v="P004"/>
    <s v="French Doors"/>
    <s v="Doors"/>
    <n v="6"/>
    <n v="45220"/>
    <n v="0.05"/>
    <n v="271320"/>
    <n v="13566"/>
    <n v="257754"/>
    <n v="2025"/>
    <x v="11"/>
    <n v="7"/>
    <x v="3"/>
    <s v="Lost"/>
    <s v="Paid"/>
    <s v="In Progress"/>
    <n v="1"/>
    <n v="20"/>
    <n v="4"/>
    <s v="Jul"/>
    <s v="Q3"/>
    <n v="2025"/>
  </r>
  <r>
    <s v="FN10688"/>
    <s v="CUST1688"/>
    <x v="2"/>
    <d v="2025-07-29T00:00:00"/>
    <s v="Residential"/>
    <x v="1"/>
    <x v="3"/>
    <s v="Google Ads"/>
    <s v="P002"/>
    <s v="Aluminium Windows"/>
    <s v="Windows"/>
    <n v="2"/>
    <n v="20419"/>
    <n v="0.1"/>
    <n v="40838"/>
    <n v="4083.8"/>
    <n v="36754.199999999997"/>
    <n v="2025"/>
    <x v="11"/>
    <n v="7"/>
    <x v="3"/>
    <s v="New"/>
    <s v="Pending"/>
    <s v="Scheduled"/>
    <n v="7"/>
    <n v="22"/>
    <n v="5"/>
    <s v="Jul"/>
    <s v="Q3"/>
    <n v="2025"/>
  </r>
  <r>
    <s v="FN10689"/>
    <s v="CUST1689"/>
    <x v="7"/>
    <d v="2025-02-23T00:00:00"/>
    <s v="Commercial"/>
    <x v="3"/>
    <x v="3"/>
    <s v="Walk-in"/>
    <s v="P007"/>
    <s v="uPVC Doors"/>
    <s v="Doors"/>
    <n v="2"/>
    <n v="30375"/>
    <n v="0.05"/>
    <n v="60750"/>
    <n v="3037.5"/>
    <n v="57712.5"/>
    <n v="2025"/>
    <x v="2"/>
    <n v="2"/>
    <x v="2"/>
    <s v="Converted"/>
    <s v="Partially Paid"/>
    <s v="Completed"/>
    <n v="4"/>
    <n v="21"/>
    <n v="4"/>
    <s v="Feb"/>
    <s v="Q1"/>
    <n v="2025"/>
  </r>
  <r>
    <s v="FN10698"/>
    <s v="CUST1698"/>
    <x v="5"/>
    <d v="2025-03-13T00:00:00"/>
    <s v="Commercial"/>
    <x v="0"/>
    <x v="7"/>
    <s v="Facebook"/>
    <s v="P004"/>
    <s v="French Doors"/>
    <s v="Doors"/>
    <n v="6"/>
    <n v="39506"/>
    <n v="0.1"/>
    <n v="237036"/>
    <n v="23703.599999999999"/>
    <n v="213332.4"/>
    <n v="2025"/>
    <x v="9"/>
    <n v="3"/>
    <x v="2"/>
    <s v="Converted"/>
    <s v="Paid"/>
    <s v="Completed"/>
    <n v="4"/>
    <n v="6"/>
    <n v="5"/>
    <s v="Mar"/>
    <s v="Q1"/>
    <n v="2025"/>
  </r>
  <r>
    <s v="FN10699"/>
    <s v="CUST1699"/>
    <x v="5"/>
    <d v="2025-09-06T00:00:00"/>
    <s v="Commercial"/>
    <x v="2"/>
    <x v="6"/>
    <s v="Google Ads"/>
    <s v="P004"/>
    <s v="French Doors"/>
    <s v="Doors"/>
    <n v="4"/>
    <n v="45025"/>
    <n v="0"/>
    <n v="180100"/>
    <n v="0"/>
    <n v="180100"/>
    <n v="2025"/>
    <x v="6"/>
    <n v="9"/>
    <x v="3"/>
    <s v="Site Visit"/>
    <s v="Paid"/>
    <s v="Scheduled"/>
    <n v="6"/>
    <n v="22"/>
    <n v="3"/>
    <s v="Sep"/>
    <s v="Q3"/>
    <n v="2025"/>
  </r>
  <r>
    <s v="FN10700"/>
    <s v="CUST1700"/>
    <x v="7"/>
    <d v="2025-06-25T00:00:00"/>
    <s v="Residential"/>
    <x v="3"/>
    <x v="6"/>
    <s v="Google Ads"/>
    <s v="P007"/>
    <s v="uPVC Doors"/>
    <s v="Doors"/>
    <n v="5"/>
    <n v="29936"/>
    <n v="0.1"/>
    <n v="149680"/>
    <n v="14968"/>
    <n v="134712"/>
    <n v="2025"/>
    <x v="1"/>
    <n v="6"/>
    <x v="1"/>
    <s v="Converted"/>
    <s v="Paid"/>
    <s v="Completed"/>
    <n v="7"/>
    <n v="27"/>
    <n v="4"/>
    <s v="Jun"/>
    <s v="Q2"/>
    <n v="2025"/>
  </r>
  <r>
    <s v="FN10701"/>
    <s v="CUST1701"/>
    <x v="4"/>
    <d v="2025-01-22T00:00:00"/>
    <s v="Residential"/>
    <x v="3"/>
    <x v="5"/>
    <s v="Facebook"/>
    <s v="P005"/>
    <s v="Casement Windows"/>
    <s v="Windows"/>
    <n v="1"/>
    <n v="25340"/>
    <n v="0.2"/>
    <n v="25340"/>
    <n v="5068"/>
    <n v="20272"/>
    <n v="2025"/>
    <x v="10"/>
    <n v="1"/>
    <x v="2"/>
    <s v="Negotiation"/>
    <s v="Partially Paid"/>
    <s v="Completed"/>
    <n v="2"/>
    <n v="6"/>
    <n v="5"/>
    <s v="Jan"/>
    <s v="Q1"/>
    <n v="2025"/>
  </r>
  <r>
    <s v="FN10702"/>
    <s v="CUST1702"/>
    <x v="5"/>
    <d v="2025-10-08T00:00:00"/>
    <s v="Commercial"/>
    <x v="3"/>
    <x v="1"/>
    <s v="Dealer"/>
    <s v="P004"/>
    <s v="French Doors"/>
    <s v="Doors"/>
    <n v="4"/>
    <n v="37936"/>
    <n v="0.2"/>
    <n v="151744"/>
    <n v="30348.799999999999"/>
    <n v="121395.2"/>
    <n v="2025"/>
    <x v="0"/>
    <n v="10"/>
    <x v="0"/>
    <s v="Lost"/>
    <s v="Paid"/>
    <s v="In Progress"/>
    <n v="3"/>
    <n v="5"/>
    <n v="4"/>
    <s v="Oct"/>
    <s v="Q4"/>
    <n v="2025"/>
  </r>
  <r>
    <s v="FN10703"/>
    <s v="CUST1703"/>
    <x v="6"/>
    <d v="2025-12-13T00:00:00"/>
    <s v="Commercial"/>
    <x v="3"/>
    <x v="6"/>
    <s v="Referral"/>
    <s v="P003"/>
    <s v="Sliding Doors"/>
    <s v="Doors"/>
    <n v="4"/>
    <n v="33279"/>
    <n v="0"/>
    <n v="133116"/>
    <n v="0"/>
    <n v="133116"/>
    <n v="2025"/>
    <x v="7"/>
    <n v="12"/>
    <x v="0"/>
    <s v="Converted"/>
    <s v="Paid"/>
    <s v="Scheduled"/>
    <n v="5"/>
    <n v="13"/>
    <n v="5"/>
    <s v="Dec"/>
    <s v="Q4"/>
    <n v="2025"/>
  </r>
  <r>
    <s v="FN10704"/>
    <s v="CUST1704"/>
    <x v="7"/>
    <d v="2025-11-28T00:00:00"/>
    <s v="Commercial"/>
    <x v="0"/>
    <x v="2"/>
    <s v="Facebook"/>
    <s v="P007"/>
    <s v="uPVC Doors"/>
    <s v="Doors"/>
    <n v="5"/>
    <n v="27802"/>
    <n v="0.1"/>
    <n v="139010"/>
    <n v="13901"/>
    <n v="125109"/>
    <n v="2025"/>
    <x v="3"/>
    <n v="11"/>
    <x v="0"/>
    <s v="Converted"/>
    <s v="Paid"/>
    <s v="Completed"/>
    <n v="4"/>
    <n v="22"/>
    <n v="4"/>
    <s v="Nov"/>
    <s v="Q4"/>
    <n v="2025"/>
  </r>
  <r>
    <s v="FN10707"/>
    <s v="CUST1707"/>
    <x v="4"/>
    <d v="2025-03-27T00:00:00"/>
    <s v="Residential"/>
    <x v="2"/>
    <x v="1"/>
    <s v="Google Ads"/>
    <s v="P005"/>
    <s v="Casement Windows"/>
    <s v="Windows"/>
    <n v="6"/>
    <n v="28850"/>
    <n v="0.1"/>
    <n v="173100"/>
    <n v="17310"/>
    <n v="155790"/>
    <n v="2025"/>
    <x v="9"/>
    <n v="3"/>
    <x v="2"/>
    <s v="Site Visit"/>
    <s v="Paid"/>
    <s v="In Progress"/>
    <n v="5"/>
    <n v="23"/>
    <n v="5"/>
    <s v="Mar"/>
    <s v="Q1"/>
    <n v="2025"/>
  </r>
  <r>
    <s v="FN10708"/>
    <s v="CUST1708"/>
    <x v="2"/>
    <d v="2025-10-28T00:00:00"/>
    <s v="Residential"/>
    <x v="3"/>
    <x v="2"/>
    <s v="Facebook"/>
    <s v="P002"/>
    <s v="Aluminium Windows"/>
    <s v="Windows"/>
    <n v="4"/>
    <n v="20450"/>
    <n v="0.1"/>
    <n v="81800"/>
    <n v="8180"/>
    <n v="73620"/>
    <n v="2025"/>
    <x v="0"/>
    <n v="10"/>
    <x v="0"/>
    <s v="Negotiation"/>
    <s v="Paid"/>
    <s v="Completed"/>
    <n v="5"/>
    <n v="12"/>
    <n v="3"/>
    <s v="Oct"/>
    <s v="Q4"/>
    <n v="2025"/>
  </r>
  <r>
    <s v="FN10710"/>
    <s v="CUST1710"/>
    <x v="6"/>
    <d v="2025-05-15T00:00:00"/>
    <s v="Residential"/>
    <x v="2"/>
    <x v="4"/>
    <s v="Google Ads"/>
    <s v="P003"/>
    <s v="Sliding Doors"/>
    <s v="Doors"/>
    <n v="1"/>
    <n v="34376"/>
    <n v="0.1"/>
    <n v="34376"/>
    <n v="3437.6"/>
    <n v="30938.400000000001"/>
    <n v="2025"/>
    <x v="4"/>
    <n v="5"/>
    <x v="1"/>
    <s v="Converted"/>
    <s v="Paid"/>
    <s v="Completed"/>
    <n v="6"/>
    <n v="10"/>
    <n v="5"/>
    <s v="May"/>
    <s v="Q2"/>
    <n v="2025"/>
  </r>
  <r>
    <s v="FN10712"/>
    <s v="CUST1712"/>
    <x v="6"/>
    <d v="2025-06-22T00:00:00"/>
    <s v="Commercial"/>
    <x v="1"/>
    <x v="2"/>
    <s v="Instagram"/>
    <s v="P003"/>
    <s v="Sliding Doors"/>
    <s v="Doors"/>
    <n v="6"/>
    <n v="35726"/>
    <n v="0.15"/>
    <n v="214356"/>
    <n v="32153.4"/>
    <n v="182202.6"/>
    <n v="2025"/>
    <x v="1"/>
    <n v="6"/>
    <x v="1"/>
    <s v="Converted"/>
    <s v="Paid"/>
    <s v="Completed"/>
    <n v="3"/>
    <n v="27"/>
    <n v="5"/>
    <s v="Jun"/>
    <s v="Q2"/>
    <n v="2025"/>
  </r>
  <r>
    <s v="FN10713"/>
    <s v="CUST1713"/>
    <x v="7"/>
    <d v="2025-07-12T00:00:00"/>
    <s v="Residential"/>
    <x v="3"/>
    <x v="2"/>
    <s v="Instagram"/>
    <s v="P007"/>
    <s v="uPVC Doors"/>
    <s v="Doors"/>
    <n v="3"/>
    <n v="29321"/>
    <n v="0.05"/>
    <n v="87963"/>
    <n v="4398.1499999999996"/>
    <n v="83564.850000000006"/>
    <n v="2025"/>
    <x v="11"/>
    <n v="7"/>
    <x v="3"/>
    <s v="New"/>
    <s v="Partially Paid"/>
    <s v="Scheduled"/>
    <n v="7"/>
    <n v="5"/>
    <n v="5"/>
    <s v="Jul"/>
    <s v="Q3"/>
    <n v="2025"/>
  </r>
  <r>
    <s v="FN10715"/>
    <s v="CUST1715"/>
    <x v="5"/>
    <d v="2025-03-08T00:00:00"/>
    <s v="Commercial"/>
    <x v="1"/>
    <x v="2"/>
    <s v="Dealer"/>
    <s v="P004"/>
    <s v="French Doors"/>
    <s v="Doors"/>
    <n v="1"/>
    <n v="38910"/>
    <n v="0.1"/>
    <n v="38910"/>
    <n v="3891"/>
    <n v="35019"/>
    <n v="2025"/>
    <x v="9"/>
    <n v="3"/>
    <x v="2"/>
    <s v="Site Visit"/>
    <s v="Paid"/>
    <s v="Delayed"/>
    <n v="7"/>
    <n v="10"/>
    <n v="4"/>
    <s v="Mar"/>
    <s v="Q1"/>
    <n v="2025"/>
  </r>
  <r>
    <s v="FN10717"/>
    <s v="CUST1717"/>
    <x v="1"/>
    <d v="2025-11-07T00:00:00"/>
    <s v="Residential"/>
    <x v="0"/>
    <x v="7"/>
    <s v="Instagram"/>
    <s v="P006"/>
    <s v="Bi-Fold Doors"/>
    <s v="Doors"/>
    <n v="3"/>
    <n v="53334"/>
    <n v="0.2"/>
    <n v="160002"/>
    <n v="32000.400000000001"/>
    <n v="128001.60000000001"/>
    <n v="2025"/>
    <x v="3"/>
    <n v="11"/>
    <x v="0"/>
    <s v="Converted"/>
    <s v="Pending"/>
    <s v="Completed"/>
    <n v="2"/>
    <n v="11"/>
    <n v="3"/>
    <s v="Nov"/>
    <s v="Q4"/>
    <n v="2025"/>
  </r>
  <r>
    <s v="FN10723"/>
    <s v="CUST1723"/>
    <x v="5"/>
    <d v="2025-06-12T00:00:00"/>
    <s v="Commercial"/>
    <x v="2"/>
    <x v="7"/>
    <s v="Dealer"/>
    <s v="P004"/>
    <s v="French Doors"/>
    <s v="Doors"/>
    <n v="4"/>
    <n v="44909"/>
    <n v="0.15"/>
    <n v="179636"/>
    <n v="26945.4"/>
    <n v="152690.6"/>
    <n v="2025"/>
    <x v="1"/>
    <n v="6"/>
    <x v="1"/>
    <s v="Converted"/>
    <s v="Pending"/>
    <s v="Completed"/>
    <n v="3"/>
    <n v="24"/>
    <n v="4"/>
    <s v="Jun"/>
    <s v="Q2"/>
    <n v="2025"/>
  </r>
  <r>
    <s v="FN10725"/>
    <s v="CUST1725"/>
    <x v="7"/>
    <d v="2025-01-21T00:00:00"/>
    <s v="Commercial"/>
    <x v="0"/>
    <x v="1"/>
    <s v="Referral"/>
    <s v="P007"/>
    <s v="uPVC Doors"/>
    <s v="Doors"/>
    <n v="6"/>
    <n v="32829"/>
    <n v="0.05"/>
    <n v="196974"/>
    <n v="9848.7000000000007"/>
    <n v="187125.3"/>
    <n v="2025"/>
    <x v="10"/>
    <n v="1"/>
    <x v="2"/>
    <s v="Converted"/>
    <s v="Paid"/>
    <s v="Delayed"/>
    <n v="2"/>
    <n v="19"/>
    <n v="2"/>
    <s v="Jan"/>
    <s v="Q1"/>
    <n v="2025"/>
  </r>
  <r>
    <s v="FN10727"/>
    <s v="CUST1727"/>
    <x v="6"/>
    <d v="2025-11-22T00:00:00"/>
    <s v="Residential"/>
    <x v="3"/>
    <x v="2"/>
    <s v="Referral"/>
    <s v="P003"/>
    <s v="Sliding Doors"/>
    <s v="Doors"/>
    <n v="4"/>
    <n v="37124"/>
    <n v="0.05"/>
    <n v="148496"/>
    <n v="7424.8"/>
    <n v="141071.20000000001"/>
    <n v="2025"/>
    <x v="3"/>
    <n v="11"/>
    <x v="0"/>
    <s v="Converted"/>
    <s v="Paid"/>
    <s v="Delayed"/>
    <n v="1"/>
    <n v="6"/>
    <n v="4"/>
    <s v="Nov"/>
    <s v="Q4"/>
    <n v="2025"/>
  </r>
  <r>
    <s v="FN10728"/>
    <s v="CUST1728"/>
    <x v="3"/>
    <d v="2025-01-16T00:00:00"/>
    <s v="Residential"/>
    <x v="0"/>
    <x v="6"/>
    <s v="Google Ads"/>
    <s v="P001"/>
    <s v="uPVC Windows"/>
    <s v="Windows"/>
    <n v="1"/>
    <n v="17141"/>
    <n v="0.05"/>
    <n v="17141"/>
    <n v="857.05"/>
    <n v="16283.95"/>
    <n v="2025"/>
    <x v="10"/>
    <n v="1"/>
    <x v="2"/>
    <s v="Converted"/>
    <s v="Paid"/>
    <s v="Completed"/>
    <n v="2"/>
    <n v="6"/>
    <n v="5"/>
    <s v="Jan"/>
    <s v="Q1"/>
    <n v="2025"/>
  </r>
  <r>
    <s v="FN10730"/>
    <s v="CUST1730"/>
    <x v="2"/>
    <d v="2025-12-02T00:00:00"/>
    <s v="Commercial"/>
    <x v="2"/>
    <x v="4"/>
    <s v="Dealer"/>
    <s v="P002"/>
    <s v="Aluminium Windows"/>
    <s v="Windows"/>
    <n v="4"/>
    <n v="21118"/>
    <n v="0.05"/>
    <n v="84472"/>
    <n v="4223.6000000000004"/>
    <n v="80248.399999999994"/>
    <n v="2025"/>
    <x v="7"/>
    <n v="12"/>
    <x v="0"/>
    <s v="Converted"/>
    <s v="Paid"/>
    <s v="Scheduled"/>
    <n v="2"/>
    <n v="5"/>
    <n v="3"/>
    <s v="Dec"/>
    <s v="Q4"/>
    <n v="2025"/>
  </r>
  <r>
    <s v="FN10732"/>
    <s v="CUST1732"/>
    <x v="0"/>
    <d v="2025-02-11T00:00:00"/>
    <s v="Commercial"/>
    <x v="3"/>
    <x v="6"/>
    <s v="Referral"/>
    <s v="P008"/>
    <s v="Soundproof Windows"/>
    <s v="Windows"/>
    <n v="1"/>
    <n v="48992"/>
    <n v="0.05"/>
    <n v="48992"/>
    <n v="2449.6"/>
    <n v="46542.400000000001"/>
    <n v="2025"/>
    <x v="2"/>
    <n v="2"/>
    <x v="2"/>
    <s v="New"/>
    <s v="Paid"/>
    <s v="Scheduled"/>
    <n v="7"/>
    <n v="25"/>
    <n v="5"/>
    <s v="Feb"/>
    <s v="Q1"/>
    <n v="2025"/>
  </r>
  <r>
    <s v="FN10736"/>
    <s v="CUST1736"/>
    <x v="2"/>
    <d v="2025-03-11T00:00:00"/>
    <s v="Residential"/>
    <x v="0"/>
    <x v="6"/>
    <s v="Instagram"/>
    <s v="P002"/>
    <s v="Aluminium Windows"/>
    <s v="Windows"/>
    <n v="3"/>
    <n v="23528"/>
    <n v="0.1"/>
    <n v="70584"/>
    <n v="7058.4"/>
    <n v="63525.599999999999"/>
    <n v="2025"/>
    <x v="9"/>
    <n v="3"/>
    <x v="2"/>
    <s v="Site Visit"/>
    <s v="Pending"/>
    <s v="Completed"/>
    <n v="6"/>
    <n v="27"/>
    <n v="5"/>
    <s v="Mar"/>
    <s v="Q1"/>
    <n v="2025"/>
  </r>
  <r>
    <s v="FN10737"/>
    <s v="CUST1737"/>
    <x v="1"/>
    <d v="2025-12-21T00:00:00"/>
    <s v="Commercial"/>
    <x v="0"/>
    <x v="3"/>
    <s v="Facebook"/>
    <s v="P006"/>
    <s v="Bi-Fold Doors"/>
    <s v="Doors"/>
    <n v="5"/>
    <n v="52178"/>
    <n v="0.15"/>
    <n v="260890"/>
    <n v="39133.5"/>
    <n v="221756.5"/>
    <n v="2025"/>
    <x v="7"/>
    <n v="12"/>
    <x v="0"/>
    <s v="Converted"/>
    <s v="Partially Paid"/>
    <s v="Completed"/>
    <n v="1"/>
    <n v="23"/>
    <n v="3"/>
    <s v="Dec"/>
    <s v="Q4"/>
    <n v="2025"/>
  </r>
  <r>
    <s v="FN10739"/>
    <s v="CUST1739"/>
    <x v="1"/>
    <d v="2025-09-30T00:00:00"/>
    <s v="Residential"/>
    <x v="2"/>
    <x v="3"/>
    <s v="Walk-in"/>
    <s v="P006"/>
    <s v="Bi-Fold Doors"/>
    <s v="Doors"/>
    <n v="2"/>
    <n v="54106"/>
    <n v="0.05"/>
    <n v="108212"/>
    <n v="5410.6"/>
    <n v="102801.4"/>
    <n v="2025"/>
    <x v="6"/>
    <n v="9"/>
    <x v="3"/>
    <s v="Converted"/>
    <s v="Paid"/>
    <s v="Completed"/>
    <n v="6"/>
    <n v="7"/>
    <n v="5"/>
    <s v="Sep"/>
    <s v="Q3"/>
    <n v="2025"/>
  </r>
  <r>
    <s v="FN10740"/>
    <s v="CUST1740"/>
    <x v="4"/>
    <d v="2025-01-13T00:00:00"/>
    <s v="Commercial"/>
    <x v="1"/>
    <x v="7"/>
    <s v="Website"/>
    <s v="P005"/>
    <s v="Casement Windows"/>
    <s v="Windows"/>
    <n v="2"/>
    <n v="27716"/>
    <n v="0.05"/>
    <n v="55432"/>
    <n v="2771.6"/>
    <n v="52660.4"/>
    <n v="2025"/>
    <x v="10"/>
    <n v="1"/>
    <x v="2"/>
    <s v="Converted"/>
    <s v="Paid"/>
    <s v="Completed"/>
    <n v="5"/>
    <n v="16"/>
    <n v="4"/>
    <s v="Jan"/>
    <s v="Q1"/>
    <n v="2025"/>
  </r>
  <r>
    <s v="FN10742"/>
    <s v="CUST1742"/>
    <x v="2"/>
    <d v="2025-02-28T00:00:00"/>
    <s v="Commercial"/>
    <x v="3"/>
    <x v="3"/>
    <s v="Walk-in"/>
    <s v="P002"/>
    <s v="Aluminium Windows"/>
    <s v="Windows"/>
    <n v="3"/>
    <n v="23988"/>
    <n v="0.05"/>
    <n v="71964"/>
    <n v="3598.2"/>
    <n v="68365.8"/>
    <n v="2025"/>
    <x v="2"/>
    <n v="2"/>
    <x v="2"/>
    <s v="Negotiation"/>
    <s v="Paid"/>
    <s v="Completed"/>
    <n v="5"/>
    <n v="9"/>
    <n v="2"/>
    <s v="Feb"/>
    <s v="Q1"/>
    <n v="2025"/>
  </r>
  <r>
    <s v="FN10743"/>
    <s v="CUST1743"/>
    <x v="1"/>
    <d v="2025-10-01T00:00:00"/>
    <s v="Commercial"/>
    <x v="0"/>
    <x v="4"/>
    <s v="Dealer"/>
    <s v="P006"/>
    <s v="Bi-Fold Doors"/>
    <s v="Doors"/>
    <n v="3"/>
    <n v="59264"/>
    <n v="0.1"/>
    <n v="177792"/>
    <n v="17779.2"/>
    <n v="160012.79999999999"/>
    <n v="2025"/>
    <x v="0"/>
    <n v="10"/>
    <x v="0"/>
    <s v="Converted"/>
    <s v="Partially Paid"/>
    <s v="Completed"/>
    <n v="5"/>
    <n v="7"/>
    <n v="5"/>
    <s v="Oct"/>
    <s v="Q4"/>
    <n v="2025"/>
  </r>
  <r>
    <s v="FN10744"/>
    <s v="CUST1744"/>
    <x v="5"/>
    <d v="2025-08-10T00:00:00"/>
    <s v="Commercial"/>
    <x v="0"/>
    <x v="3"/>
    <s v="Website"/>
    <s v="P004"/>
    <s v="French Doors"/>
    <s v="Doors"/>
    <n v="2"/>
    <n v="39944"/>
    <n v="0.05"/>
    <n v="79888"/>
    <n v="3994.4"/>
    <n v="75893.600000000006"/>
    <n v="2025"/>
    <x v="8"/>
    <n v="8"/>
    <x v="3"/>
    <s v="Lost"/>
    <s v="Paid"/>
    <s v="Scheduled"/>
    <n v="6"/>
    <n v="30"/>
    <n v="5"/>
    <s v="Aug"/>
    <s v="Q3"/>
    <n v="2025"/>
  </r>
  <r>
    <s v="FN10747"/>
    <s v="CUST1747"/>
    <x v="6"/>
    <d v="2025-05-05T00:00:00"/>
    <s v="Commercial"/>
    <x v="3"/>
    <x v="4"/>
    <s v="Google Ads"/>
    <s v="P003"/>
    <s v="Sliding Doors"/>
    <s v="Doors"/>
    <n v="4"/>
    <n v="39403"/>
    <n v="0.1"/>
    <n v="157612"/>
    <n v="15761.2"/>
    <n v="141850.79999999999"/>
    <n v="2025"/>
    <x v="4"/>
    <n v="5"/>
    <x v="1"/>
    <s v="Converted"/>
    <s v="Partially Paid"/>
    <s v="Completed"/>
    <n v="5"/>
    <n v="16"/>
    <n v="5"/>
    <s v="May"/>
    <s v="Q2"/>
    <n v="2025"/>
  </r>
  <r>
    <s v="FN10748"/>
    <s v="CUST1748"/>
    <x v="4"/>
    <d v="2025-06-17T00:00:00"/>
    <s v="Residential"/>
    <x v="0"/>
    <x v="6"/>
    <s v="Dealer"/>
    <s v="P005"/>
    <s v="Casement Windows"/>
    <s v="Windows"/>
    <n v="6"/>
    <n v="23584"/>
    <n v="0.15"/>
    <n v="141504"/>
    <n v="21225.599999999999"/>
    <n v="120278.39999999999"/>
    <n v="2025"/>
    <x v="1"/>
    <n v="6"/>
    <x v="1"/>
    <s v="Site Visit"/>
    <s v="Paid"/>
    <s v="Completed"/>
    <n v="4"/>
    <n v="26"/>
    <n v="3"/>
    <s v="Jun"/>
    <s v="Q2"/>
    <n v="2025"/>
  </r>
  <r>
    <s v="FN10749"/>
    <s v="CUST1749"/>
    <x v="6"/>
    <d v="2025-07-27T00:00:00"/>
    <s v="Commercial"/>
    <x v="0"/>
    <x v="4"/>
    <s v="Google Ads"/>
    <s v="P003"/>
    <s v="Sliding Doors"/>
    <s v="Doors"/>
    <n v="3"/>
    <n v="35949"/>
    <n v="0.1"/>
    <n v="107847"/>
    <n v="10784.7"/>
    <n v="97062.3"/>
    <n v="2025"/>
    <x v="11"/>
    <n v="7"/>
    <x v="3"/>
    <s v="Negotiation"/>
    <s v="Paid"/>
    <s v="Completed"/>
    <n v="7"/>
    <n v="29"/>
    <n v="5"/>
    <s v="Jul"/>
    <s v="Q3"/>
    <n v="2025"/>
  </r>
  <r>
    <s v="FN10751"/>
    <s v="CUST1751"/>
    <x v="7"/>
    <d v="2025-03-03T00:00:00"/>
    <s v="Residential"/>
    <x v="0"/>
    <x v="5"/>
    <s v="Walk-in"/>
    <s v="P007"/>
    <s v="uPVC Doors"/>
    <s v="Doors"/>
    <n v="6"/>
    <n v="31645"/>
    <n v="0.15"/>
    <n v="189870"/>
    <n v="28480.5"/>
    <n v="161389.5"/>
    <n v="2025"/>
    <x v="9"/>
    <n v="3"/>
    <x v="2"/>
    <s v="Converted"/>
    <s v="Pending"/>
    <s v="Completed"/>
    <n v="2"/>
    <n v="25"/>
    <n v="5"/>
    <s v="Mar"/>
    <s v="Q1"/>
    <n v="2025"/>
  </r>
  <r>
    <s v="FN10754"/>
    <s v="CUST1754"/>
    <x v="3"/>
    <d v="2025-03-21T00:00:00"/>
    <s v="Commercial"/>
    <x v="2"/>
    <x v="6"/>
    <s v="Referral"/>
    <s v="P001"/>
    <s v="uPVC Windows"/>
    <s v="Windows"/>
    <n v="6"/>
    <n v="19017"/>
    <n v="0.1"/>
    <n v="114102"/>
    <n v="11410.2"/>
    <n v="102691.8"/>
    <n v="2025"/>
    <x v="9"/>
    <n v="3"/>
    <x v="2"/>
    <s v="New"/>
    <s v="Paid"/>
    <s v="Completed"/>
    <n v="5"/>
    <n v="24"/>
    <n v="5"/>
    <s v="Mar"/>
    <s v="Q1"/>
    <n v="2025"/>
  </r>
  <r>
    <s v="FN10757"/>
    <s v="CUST1757"/>
    <x v="6"/>
    <d v="2025-06-13T00:00:00"/>
    <s v="Commercial"/>
    <x v="3"/>
    <x v="4"/>
    <s v="Walk-in"/>
    <s v="P003"/>
    <s v="Sliding Doors"/>
    <s v="Doors"/>
    <n v="6"/>
    <n v="34630"/>
    <n v="0.05"/>
    <n v="207780"/>
    <n v="10389"/>
    <n v="197391"/>
    <n v="2025"/>
    <x v="1"/>
    <n v="6"/>
    <x v="1"/>
    <s v="Converted"/>
    <s v="Pending"/>
    <s v="Scheduled"/>
    <n v="6"/>
    <n v="11"/>
    <n v="5"/>
    <s v="Jun"/>
    <s v="Q2"/>
    <n v="2025"/>
  </r>
  <r>
    <s v="FN10758"/>
    <s v="CUST1758"/>
    <x v="1"/>
    <d v="2025-02-06T00:00:00"/>
    <s v="Residential"/>
    <x v="1"/>
    <x v="2"/>
    <s v="Facebook"/>
    <s v="P006"/>
    <s v="Bi-Fold Doors"/>
    <s v="Doors"/>
    <n v="5"/>
    <n v="50414"/>
    <n v="0"/>
    <n v="252070"/>
    <n v="0"/>
    <n v="252070"/>
    <n v="2025"/>
    <x v="2"/>
    <n v="2"/>
    <x v="2"/>
    <s v="Lost"/>
    <s v="Partially Paid"/>
    <s v="Scheduled"/>
    <n v="2"/>
    <n v="24"/>
    <n v="5"/>
    <s v="Feb"/>
    <s v="Q1"/>
    <n v="2025"/>
  </r>
  <r>
    <s v="FN10763"/>
    <s v="CUST1763"/>
    <x v="0"/>
    <d v="2025-07-01T00:00:00"/>
    <s v="Residential"/>
    <x v="3"/>
    <x v="1"/>
    <s v="Instagram"/>
    <s v="P008"/>
    <s v="Soundproof Windows"/>
    <s v="Windows"/>
    <n v="6"/>
    <n v="55147"/>
    <n v="0.05"/>
    <n v="330882"/>
    <n v="16544.099999999999"/>
    <n v="314337.90000000002"/>
    <n v="2025"/>
    <x v="11"/>
    <n v="7"/>
    <x v="3"/>
    <s v="Converted"/>
    <s v="Paid"/>
    <s v="Completed"/>
    <n v="2"/>
    <n v="20"/>
    <n v="4"/>
    <s v="Jul"/>
    <s v="Q3"/>
    <n v="2025"/>
  </r>
  <r>
    <s v="FN10764"/>
    <s v="CUST1764"/>
    <x v="4"/>
    <d v="2025-07-11T00:00:00"/>
    <s v="Residential"/>
    <x v="0"/>
    <x v="4"/>
    <s v="Instagram"/>
    <s v="P005"/>
    <s v="Casement Windows"/>
    <s v="Windows"/>
    <n v="3"/>
    <n v="27981"/>
    <n v="0"/>
    <n v="83943"/>
    <n v="0"/>
    <n v="83943"/>
    <n v="2025"/>
    <x v="11"/>
    <n v="7"/>
    <x v="3"/>
    <s v="Lost"/>
    <s v="Paid"/>
    <s v="Completed"/>
    <n v="1"/>
    <n v="28"/>
    <n v="5"/>
    <s v="Jul"/>
    <s v="Q3"/>
    <n v="2025"/>
  </r>
  <r>
    <s v="FN10765"/>
    <s v="CUST1765"/>
    <x v="4"/>
    <d v="2025-12-13T00:00:00"/>
    <s v="Residential"/>
    <x v="2"/>
    <x v="5"/>
    <s v="Referral"/>
    <s v="P005"/>
    <s v="Casement Windows"/>
    <s v="Windows"/>
    <n v="4"/>
    <n v="24288"/>
    <n v="0.15"/>
    <n v="97152"/>
    <n v="14572.8"/>
    <n v="82579.199999999997"/>
    <n v="2025"/>
    <x v="7"/>
    <n v="12"/>
    <x v="0"/>
    <s v="Converted"/>
    <s v="Partially Paid"/>
    <s v="Scheduled"/>
    <n v="5"/>
    <n v="5"/>
    <n v="5"/>
    <s v="Dec"/>
    <s v="Q4"/>
    <n v="2025"/>
  </r>
  <r>
    <s v="FN10767"/>
    <s v="CUST1767"/>
    <x v="4"/>
    <d v="2025-03-01T00:00:00"/>
    <s v="Residential"/>
    <x v="0"/>
    <x v="1"/>
    <s v="Instagram"/>
    <s v="P005"/>
    <s v="Casement Windows"/>
    <s v="Windows"/>
    <n v="6"/>
    <n v="29693"/>
    <n v="0.2"/>
    <n v="178158"/>
    <n v="35631.599999999999"/>
    <n v="142526.39999999999"/>
    <n v="2025"/>
    <x v="9"/>
    <n v="3"/>
    <x v="2"/>
    <s v="Site Visit"/>
    <s v="Paid"/>
    <s v="Completed"/>
    <n v="1"/>
    <n v="25"/>
    <n v="5"/>
    <s v="Mar"/>
    <s v="Q1"/>
    <n v="2025"/>
  </r>
  <r>
    <s v="FN10769"/>
    <s v="CUST1769"/>
    <x v="4"/>
    <d v="2025-01-25T00:00:00"/>
    <s v="Residential"/>
    <x v="1"/>
    <x v="5"/>
    <s v="Instagram"/>
    <s v="P005"/>
    <s v="Casement Windows"/>
    <s v="Windows"/>
    <n v="5"/>
    <n v="25935"/>
    <n v="0.05"/>
    <n v="129675"/>
    <n v="6483.75"/>
    <n v="123191.25"/>
    <n v="2025"/>
    <x v="10"/>
    <n v="1"/>
    <x v="2"/>
    <s v="Converted"/>
    <s v="Paid"/>
    <s v="Delayed"/>
    <n v="2"/>
    <n v="16"/>
    <n v="5"/>
    <s v="Jan"/>
    <s v="Q1"/>
    <n v="2025"/>
  </r>
  <r>
    <s v="FN10771"/>
    <s v="CUST1771"/>
    <x v="3"/>
    <d v="2025-10-04T00:00:00"/>
    <s v="Commercial"/>
    <x v="3"/>
    <x v="2"/>
    <s v="Facebook"/>
    <s v="P001"/>
    <s v="uPVC Windows"/>
    <s v="Windows"/>
    <n v="6"/>
    <n v="20667"/>
    <n v="0.1"/>
    <n v="124002"/>
    <n v="12400.2"/>
    <n v="111601.8"/>
    <n v="2025"/>
    <x v="0"/>
    <n v="10"/>
    <x v="0"/>
    <s v="Converted"/>
    <s v="Partially Paid"/>
    <s v="Completed"/>
    <n v="1"/>
    <n v="25"/>
    <n v="5"/>
    <s v="Oct"/>
    <s v="Q4"/>
    <n v="2025"/>
  </r>
  <r>
    <s v="FN10773"/>
    <s v="CUST1773"/>
    <x v="2"/>
    <d v="2025-05-29T00:00:00"/>
    <s v="Residential"/>
    <x v="1"/>
    <x v="2"/>
    <s v="Referral"/>
    <s v="P002"/>
    <s v="Aluminium Windows"/>
    <s v="Windows"/>
    <n v="6"/>
    <n v="23526"/>
    <n v="0"/>
    <n v="141156"/>
    <n v="0"/>
    <n v="141156"/>
    <n v="2025"/>
    <x v="4"/>
    <n v="5"/>
    <x v="1"/>
    <s v="Converted"/>
    <s v="Partially Paid"/>
    <s v="Scheduled"/>
    <n v="7"/>
    <n v="21"/>
    <n v="5"/>
    <s v="May"/>
    <s v="Q2"/>
    <n v="2025"/>
  </r>
  <r>
    <s v="FN10775"/>
    <s v="CUST1775"/>
    <x v="3"/>
    <d v="2025-03-06T00:00:00"/>
    <s v="Commercial"/>
    <x v="3"/>
    <x v="0"/>
    <s v="Google Ads"/>
    <s v="P001"/>
    <s v="uPVC Windows"/>
    <s v="Windows"/>
    <n v="3"/>
    <n v="16206"/>
    <n v="0.1"/>
    <n v="48618"/>
    <n v="4861.8"/>
    <n v="43756.2"/>
    <n v="2025"/>
    <x v="9"/>
    <n v="3"/>
    <x v="2"/>
    <s v="New"/>
    <s v="Paid"/>
    <s v="In Progress"/>
    <n v="3"/>
    <n v="13"/>
    <n v="4"/>
    <s v="Mar"/>
    <s v="Q1"/>
    <n v="2025"/>
  </r>
  <r>
    <s v="FN10776"/>
    <s v="CUST1776"/>
    <x v="2"/>
    <d v="2025-05-28T00:00:00"/>
    <s v="Residential"/>
    <x v="0"/>
    <x v="5"/>
    <s v="Facebook"/>
    <s v="P002"/>
    <s v="Aluminium Windows"/>
    <s v="Windows"/>
    <n v="1"/>
    <n v="22099"/>
    <n v="0.15"/>
    <n v="22099"/>
    <n v="3314.85"/>
    <n v="18784.150000000001"/>
    <n v="2025"/>
    <x v="4"/>
    <n v="5"/>
    <x v="1"/>
    <s v="Converted"/>
    <s v="Pending"/>
    <s v="Delayed"/>
    <n v="3"/>
    <n v="19"/>
    <n v="5"/>
    <s v="May"/>
    <s v="Q2"/>
    <n v="2025"/>
  </r>
  <r>
    <s v="FN10781"/>
    <s v="CUST1781"/>
    <x v="2"/>
    <d v="2025-02-15T00:00:00"/>
    <s v="Commercial"/>
    <x v="3"/>
    <x v="5"/>
    <s v="Facebook"/>
    <s v="P002"/>
    <s v="Aluminium Windows"/>
    <s v="Windows"/>
    <n v="3"/>
    <n v="25009"/>
    <n v="0"/>
    <n v="75027"/>
    <n v="0"/>
    <n v="75027"/>
    <n v="2025"/>
    <x v="2"/>
    <n v="2"/>
    <x v="2"/>
    <s v="Converted"/>
    <s v="Paid"/>
    <s v="Completed"/>
    <n v="4"/>
    <n v="21"/>
    <n v="4"/>
    <s v="Feb"/>
    <s v="Q1"/>
    <n v="2025"/>
  </r>
  <r>
    <s v="FN10782"/>
    <s v="CUST1782"/>
    <x v="4"/>
    <d v="2025-03-28T00:00:00"/>
    <s v="Commercial"/>
    <x v="3"/>
    <x v="6"/>
    <s v="Dealer"/>
    <s v="P005"/>
    <s v="Casement Windows"/>
    <s v="Windows"/>
    <n v="4"/>
    <n v="29892"/>
    <n v="0.2"/>
    <n v="119568"/>
    <n v="23913.599999999999"/>
    <n v="95654.399999999994"/>
    <n v="2025"/>
    <x v="9"/>
    <n v="3"/>
    <x v="2"/>
    <s v="Site Visit"/>
    <s v="Paid"/>
    <s v="In Progress"/>
    <n v="7"/>
    <n v="9"/>
    <n v="5"/>
    <s v="Mar"/>
    <s v="Q1"/>
    <n v="2025"/>
  </r>
  <r>
    <s v="FN10784"/>
    <s v="CUST1784"/>
    <x v="5"/>
    <d v="2025-08-21T00:00:00"/>
    <s v="Residential"/>
    <x v="2"/>
    <x v="2"/>
    <s v="Walk-in"/>
    <s v="P004"/>
    <s v="French Doors"/>
    <s v="Doors"/>
    <n v="2"/>
    <n v="44388"/>
    <n v="0.15"/>
    <n v="88776"/>
    <n v="13316.4"/>
    <n v="75459.600000000006"/>
    <n v="2025"/>
    <x v="8"/>
    <n v="8"/>
    <x v="3"/>
    <s v="New"/>
    <s v="Pending"/>
    <s v="In Progress"/>
    <n v="3"/>
    <n v="12"/>
    <n v="5"/>
    <s v="Aug"/>
    <s v="Q3"/>
    <n v="2025"/>
  </r>
  <r>
    <s v="FN10788"/>
    <s v="CUST1788"/>
    <x v="6"/>
    <d v="2025-11-16T00:00:00"/>
    <s v="Residential"/>
    <x v="1"/>
    <x v="7"/>
    <s v="Facebook"/>
    <s v="P003"/>
    <s v="Sliding Doors"/>
    <s v="Doors"/>
    <n v="1"/>
    <n v="32808"/>
    <n v="0"/>
    <n v="32808"/>
    <n v="0"/>
    <n v="32808"/>
    <n v="2025"/>
    <x v="3"/>
    <n v="11"/>
    <x v="0"/>
    <s v="Negotiation"/>
    <s v="Paid"/>
    <s v="Completed"/>
    <n v="6"/>
    <n v="26"/>
    <n v="5"/>
    <s v="Nov"/>
    <s v="Q4"/>
    <n v="2025"/>
  </r>
  <r>
    <s v="FN10791"/>
    <s v="CUST1791"/>
    <x v="0"/>
    <d v="2025-09-27T00:00:00"/>
    <s v="Commercial"/>
    <x v="0"/>
    <x v="4"/>
    <s v="Walk-in"/>
    <s v="P008"/>
    <s v="Soundproof Windows"/>
    <s v="Windows"/>
    <n v="4"/>
    <n v="47414"/>
    <n v="0.15"/>
    <n v="189656"/>
    <n v="28448.400000000001"/>
    <n v="161207.6"/>
    <n v="2025"/>
    <x v="6"/>
    <n v="9"/>
    <x v="3"/>
    <s v="Converted"/>
    <s v="Paid"/>
    <s v="Completed"/>
    <n v="2"/>
    <n v="7"/>
    <n v="3"/>
    <s v="Sep"/>
    <s v="Q3"/>
    <n v="2025"/>
  </r>
  <r>
    <s v="FN10792"/>
    <s v="CUST1792"/>
    <x v="6"/>
    <d v="2025-12-18T00:00:00"/>
    <s v="Commercial"/>
    <x v="0"/>
    <x v="3"/>
    <s v="Referral"/>
    <s v="P003"/>
    <s v="Sliding Doors"/>
    <s v="Doors"/>
    <n v="2"/>
    <n v="39338"/>
    <n v="0"/>
    <n v="78676"/>
    <n v="0"/>
    <n v="78676"/>
    <n v="2025"/>
    <x v="7"/>
    <n v="12"/>
    <x v="0"/>
    <s v="Converted"/>
    <s v="Paid"/>
    <s v="Completed"/>
    <n v="2"/>
    <n v="5"/>
    <n v="3"/>
    <s v="Dec"/>
    <s v="Q4"/>
    <n v="2025"/>
  </r>
  <r>
    <s v="FN10793"/>
    <s v="CUST1793"/>
    <x v="4"/>
    <d v="2025-07-30T00:00:00"/>
    <s v="Commercial"/>
    <x v="2"/>
    <x v="0"/>
    <s v="Referral"/>
    <s v="P005"/>
    <s v="Casement Windows"/>
    <s v="Windows"/>
    <n v="4"/>
    <n v="25078"/>
    <n v="0.1"/>
    <n v="100312"/>
    <n v="10031.200000000001"/>
    <n v="90280.8"/>
    <n v="2025"/>
    <x v="11"/>
    <n v="7"/>
    <x v="3"/>
    <s v="Converted"/>
    <s v="Partially Paid"/>
    <s v="Completed"/>
    <n v="4"/>
    <n v="20"/>
    <n v="3"/>
    <s v="Jul"/>
    <s v="Q3"/>
    <n v="2025"/>
  </r>
  <r>
    <s v="FN10796"/>
    <s v="CUST1796"/>
    <x v="7"/>
    <d v="2025-12-31T00:00:00"/>
    <s v="Residential"/>
    <x v="1"/>
    <x v="2"/>
    <s v="Walk-in"/>
    <s v="P007"/>
    <s v="uPVC Doors"/>
    <s v="Doors"/>
    <n v="5"/>
    <n v="31381"/>
    <n v="0.2"/>
    <n v="156905"/>
    <n v="31381"/>
    <n v="125524"/>
    <n v="2025"/>
    <x v="7"/>
    <n v="12"/>
    <x v="0"/>
    <s v="New"/>
    <s v="Paid"/>
    <s v="Scheduled"/>
    <n v="4"/>
    <n v="22"/>
    <n v="3"/>
    <s v="Dec"/>
    <s v="Q4"/>
    <n v="2025"/>
  </r>
  <r>
    <s v="FN10797"/>
    <s v="CUST1797"/>
    <x v="2"/>
    <d v="2025-10-01T00:00:00"/>
    <s v="Residential"/>
    <x v="1"/>
    <x v="0"/>
    <s v="Walk-in"/>
    <s v="P002"/>
    <s v="Aluminium Windows"/>
    <s v="Windows"/>
    <n v="6"/>
    <n v="22214"/>
    <n v="0"/>
    <n v="133284"/>
    <n v="0"/>
    <n v="133284"/>
    <n v="2025"/>
    <x v="0"/>
    <n v="10"/>
    <x v="0"/>
    <s v="Converted"/>
    <s v="Partially Paid"/>
    <s v="Completed"/>
    <n v="6"/>
    <n v="12"/>
    <n v="3"/>
    <s v="Oct"/>
    <s v="Q4"/>
    <n v="2025"/>
  </r>
  <r>
    <s v="FN10798"/>
    <s v="CUST1798"/>
    <x v="6"/>
    <d v="2025-08-08T00:00:00"/>
    <s v="Commercial"/>
    <x v="0"/>
    <x v="3"/>
    <s v="Dealer"/>
    <s v="P003"/>
    <s v="Sliding Doors"/>
    <s v="Doors"/>
    <n v="6"/>
    <n v="36942"/>
    <n v="0.1"/>
    <n v="221652"/>
    <n v="22165.200000000001"/>
    <n v="199486.8"/>
    <n v="2025"/>
    <x v="8"/>
    <n v="8"/>
    <x v="3"/>
    <s v="Negotiation"/>
    <s v="Paid"/>
    <s v="In Progress"/>
    <n v="7"/>
    <n v="12"/>
    <n v="4"/>
    <s v="Aug"/>
    <s v="Q3"/>
    <n v="2025"/>
  </r>
  <r>
    <s v="FN10799"/>
    <s v="CUST1799"/>
    <x v="4"/>
    <d v="2025-06-06T00:00:00"/>
    <s v="Residential"/>
    <x v="0"/>
    <x v="4"/>
    <s v="Instagram"/>
    <s v="P005"/>
    <s v="Casement Windows"/>
    <s v="Windows"/>
    <n v="2"/>
    <n v="29361"/>
    <n v="0"/>
    <n v="58722"/>
    <n v="0"/>
    <n v="58722"/>
    <n v="2025"/>
    <x v="1"/>
    <n v="6"/>
    <x v="1"/>
    <s v="Lost"/>
    <s v="Paid"/>
    <s v="Completed"/>
    <n v="2"/>
    <n v="19"/>
    <n v="4"/>
    <s v="Jun"/>
    <s v="Q2"/>
    <n v="2025"/>
  </r>
  <r>
    <s v="FN10800"/>
    <s v="CUST1800"/>
    <x v="4"/>
    <d v="2025-11-30T00:00:00"/>
    <s v="Residential"/>
    <x v="2"/>
    <x v="7"/>
    <s v="Referral"/>
    <s v="P005"/>
    <s v="Casement Windows"/>
    <s v="Windows"/>
    <n v="1"/>
    <n v="29465"/>
    <n v="0.2"/>
    <n v="29465"/>
    <n v="5893"/>
    <n v="23572"/>
    <n v="2025"/>
    <x v="3"/>
    <n v="11"/>
    <x v="0"/>
    <s v="Site Visit"/>
    <s v="Partially Paid"/>
    <s v="In Progress"/>
    <n v="7"/>
    <n v="8"/>
    <n v="2"/>
    <s v="Nov"/>
    <s v="Q4"/>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E71B9-2461-49F6-8160-1667099F922E}" name="Top5_salesperson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Sales Person">
  <location ref="A3:B9" firstHeaderRow="1" firstDataRow="1" firstDataCol="1"/>
  <pivotFields count="31">
    <pivotField showAll="0"/>
    <pivotField showAll="0"/>
    <pivotField showAll="0"/>
    <pivotField numFmtId="164" showAll="0"/>
    <pivotField showAll="0"/>
    <pivotField showAll="0"/>
    <pivotField axis="axisRow" showAll="0" measureFilter="1" sortType="descending">
      <items count="9">
        <item x="6"/>
        <item x="0"/>
        <item x="7"/>
        <item x="3"/>
        <item x="5"/>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6"/>
  </rowFields>
  <rowItems count="6">
    <i>
      <x v="6"/>
    </i>
    <i>
      <x v="3"/>
    </i>
    <i>
      <x v="5"/>
    </i>
    <i>
      <x v="4"/>
    </i>
    <i>
      <x v="7"/>
    </i>
    <i t="grand">
      <x/>
    </i>
  </rowItems>
  <colItems count="1">
    <i/>
  </colItems>
  <dataFields count="1">
    <dataField name="Net___Sales" fld="16" baseField="6" baseItem="6"/>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ECD08D-BE6A-494B-9050-C8D50F3EBA22}" name="Top 5 District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District Perfomance">
  <location ref="A3:B8" firstHeaderRow="1" firstDataRow="1" firstDataCol="1"/>
  <pivotFields count="31">
    <pivotField showAll="0"/>
    <pivotField showAll="0"/>
    <pivotField showAll="0"/>
    <pivotField numFmtId="164"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5"/>
  </rowFields>
  <rowItems count="5">
    <i>
      <x v="1"/>
    </i>
    <i>
      <x v="2"/>
    </i>
    <i>
      <x v="3"/>
    </i>
    <i>
      <x/>
    </i>
    <i t="grand">
      <x/>
    </i>
  </rowItems>
  <colItems count="1">
    <i/>
  </colItems>
  <dataFields count="1">
    <dataField name="Net Sales" fld="16" baseField="4" baseItem="1"/>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D69F5B-D1EA-4E5A-8B5F-6810CA6BA88C}" name="Top 5 product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Product">
  <location ref="A3:B9" firstHeaderRow="1" firstDataRow="1" firstDataCol="1"/>
  <pivotFields count="31">
    <pivotField showAll="0"/>
    <pivotField showAll="0"/>
    <pivotField axis="axisRow" showAll="0" measureFilter="1" sortType="descending">
      <items count="9">
        <item x="2"/>
        <item x="1"/>
        <item x="4"/>
        <item x="5"/>
        <item x="6"/>
        <item x="0"/>
        <item x="7"/>
        <item x="3"/>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6">
    <i>
      <x v="3"/>
    </i>
    <i>
      <x v="1"/>
    </i>
    <i>
      <x v="4"/>
    </i>
    <i>
      <x v="5"/>
    </i>
    <i>
      <x v="2"/>
    </i>
    <i t="grand">
      <x/>
    </i>
  </rowItems>
  <colItems count="1">
    <i/>
  </colItems>
  <dataFields count="1">
    <dataField name="Net Sales" fld="16" baseField="8"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D33EF9-307F-4255-BD5F-32C2735286A1}" name="Monthly_Perfomance" cacheId="0"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chartFormat="15" rowHeaderCaption="Months" colHeaderCaption="Months">
  <location ref="A3:B16" firstHeaderRow="1" firstDataRow="1" firstDataCol="1" rowPageCount="1" colPageCount="1"/>
  <pivotFields count="31">
    <pivotField showAll="0"/>
    <pivotField showAll="0"/>
    <pivotField showAll="0"/>
    <pivotField numFmtId="164" showAll="0"/>
    <pivotField showAll="0"/>
    <pivotField showAll="0"/>
    <pivotField axis="axisPage" multipleItemSelectionAllowed="1" showAll="0">
      <items count="9">
        <item h="1" x="6"/>
        <item h="1" x="0"/>
        <item h="1" x="7"/>
        <item h="1" x="3"/>
        <item h="1" x="5"/>
        <item h="1" x="1"/>
        <item h="1" x="2"/>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items count="13">
        <item x="10"/>
        <item x="2"/>
        <item x="9"/>
        <item x="5"/>
        <item x="4"/>
        <item x="1"/>
        <item x="11"/>
        <item x="8"/>
        <item x="6"/>
        <item x="0"/>
        <item x="3"/>
        <item x="7"/>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8"/>
  </rowFields>
  <rowItems count="13">
    <i>
      <x/>
    </i>
    <i>
      <x v="1"/>
    </i>
    <i>
      <x v="2"/>
    </i>
    <i>
      <x v="3"/>
    </i>
    <i>
      <x v="4"/>
    </i>
    <i>
      <x v="5"/>
    </i>
    <i>
      <x v="6"/>
    </i>
    <i>
      <x v="7"/>
    </i>
    <i>
      <x v="8"/>
    </i>
    <i>
      <x v="9"/>
    </i>
    <i>
      <x v="10"/>
    </i>
    <i>
      <x v="11"/>
    </i>
    <i t="grand">
      <x/>
    </i>
  </rowItems>
  <colItems count="1">
    <i/>
  </colItems>
  <pageFields count="1">
    <pageField fld="6" hier="-1"/>
  </pageFields>
  <dataFields count="1">
    <dataField name="Net Sales" fld="16" baseField="18" baseItem="0"/>
  </dataFields>
  <chartFormats count="4">
    <chartFormat chart="12" format="34" series="1">
      <pivotArea type="data" outline="0" fieldPosition="0">
        <references count="1">
          <reference field="4294967294" count="1" selected="0">
            <x v="0"/>
          </reference>
        </references>
      </pivotArea>
    </chartFormat>
    <chartFormat chart="10" format="34" series="1">
      <pivotArea type="data" outline="0" fieldPosition="0">
        <references count="1">
          <reference field="4294967294" count="1" selected="0">
            <x v="0"/>
          </reference>
        </references>
      </pivotArea>
    </chartFormat>
    <chartFormat chart="5" format="34" series="1">
      <pivotArea type="data" outline="0" fieldPosition="0">
        <references count="1">
          <reference field="4294967294" count="1" selected="0">
            <x v="0"/>
          </reference>
        </references>
      </pivotArea>
    </chartFormat>
    <chartFormat chart="14"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C2950E-3B45-4B97-9A5C-7FF1750E7A89}" name="Quarterly Perfoman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Quarters">
  <location ref="A3:B8" firstHeaderRow="1" firstDataRow="1" firstDataCol="1" rowPageCount="1" colPageCount="1"/>
  <pivotFields count="31">
    <pivotField showAll="0"/>
    <pivotField showAll="0"/>
    <pivotField showAll="0"/>
    <pivotField numFmtId="164" showAll="0"/>
    <pivotField showAll="0"/>
    <pivotField showAll="0"/>
    <pivotField axis="axisPage" multipleItemSelectionAllowed="1" showAll="0">
      <items count="9">
        <item h="1" x="6"/>
        <item h="1" x="0"/>
        <item h="1" x="7"/>
        <item h="1" x="3"/>
        <item h="1" x="5"/>
        <item h="1" x="1"/>
        <item h="1" x="2"/>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sortType="ascending">
      <items count="5">
        <item x="2"/>
        <item x="1"/>
        <item x="3"/>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0"/>
  </rowFields>
  <rowItems count="5">
    <i>
      <x/>
    </i>
    <i>
      <x v="1"/>
    </i>
    <i>
      <x v="2"/>
    </i>
    <i>
      <x v="3"/>
    </i>
    <i t="grand">
      <x/>
    </i>
  </rowItems>
  <colItems count="1">
    <i/>
  </colItems>
  <pageFields count="1">
    <pageField fld="6" hier="-1"/>
  </pageFields>
  <dataFields count="1">
    <dataField name="Net__Sales" fld="16" baseField="2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C96D1B-4777-453F-9474-FD560FCA858C}" name="Perfomace_Benchmark"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J8" firstHeaderRow="1" firstDataRow="2" firstDataCol="1"/>
  <pivotFields count="31">
    <pivotField showAll="0"/>
    <pivotField showAll="0"/>
    <pivotField showAll="0"/>
    <pivotField numFmtId="164" showAll="0"/>
    <pivotField showAll="0"/>
    <pivotField showAll="0"/>
    <pivotField axis="axisCol" showAll="0">
      <items count="9">
        <item x="6"/>
        <item x="0"/>
        <item x="7"/>
        <item x="3"/>
        <item x="5"/>
        <item x="1"/>
        <item x="2"/>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0"/>
  </rowFields>
  <rowItems count="4">
    <i>
      <x/>
    </i>
    <i>
      <x v="1"/>
    </i>
    <i>
      <x v="2"/>
    </i>
    <i>
      <x v="3"/>
    </i>
  </rowItems>
  <colFields count="1">
    <field x="6"/>
  </colFields>
  <colItems count="9">
    <i>
      <x/>
    </i>
    <i>
      <x v="1"/>
    </i>
    <i>
      <x v="2"/>
    </i>
    <i>
      <x v="3"/>
    </i>
    <i>
      <x v="4"/>
    </i>
    <i>
      <x v="5"/>
    </i>
    <i>
      <x v="6"/>
    </i>
    <i>
      <x v="7"/>
    </i>
    <i t="grand">
      <x/>
    </i>
  </colItems>
  <dataFields count="1">
    <dataField name="Sum of Net_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2B74C81-B574-4DAC-879C-2572C82CE4CC}" sourceName="Salesperson">
  <pivotTables>
    <pivotTable tabId="13" name="Monthly_Perfomance"/>
    <pivotTable tabId="14" name="Quarterly Perfomance"/>
  </pivotTables>
  <data>
    <tabular pivotCacheId="2019671148">
      <items count="8">
        <i x="6"/>
        <i x="0"/>
        <i x="7"/>
        <i x="3"/>
        <i x="5"/>
        <i x="1"/>
        <i x="2"/>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82B79B4C-4311-470E-B1D4-A57AA8C5DC16}" cache="Slicer_Salesperson" caption="Salesperson" startItem="1" style="SlicerStyleLigh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267BE1E5-59B0-4DC4-BF3C-75A0ED83377E}" cache="Slicer_Salesperson" caption="Salesperson"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09A478-A657-4A92-8413-10776E7587B9}" name="Sales_Data" displayName="Sales_Data" ref="A1:AD422" totalsRowShown="0" headerRowDxfId="20" headerRowBorderDxfId="19" tableBorderDxfId="18">
  <autoFilter ref="A1:AD422" xr:uid="{1309A478-A657-4A92-8413-10776E7587B9}"/>
  <tableColumns count="30">
    <tableColumn id="1" xr3:uid="{EDE2ED47-758C-4AB6-A40A-329749A78320}" name="Order_ID"/>
    <tableColumn id="2" xr3:uid="{AFE8F28E-A82E-4622-A585-0206AEDD783B}" name="Customer_ID"/>
    <tableColumn id="30" xr3:uid="{7F2F0ED7-2539-4F5B-9556-F42F4D121A6E}" name="Product" dataDxfId="17">
      <calculatedColumnFormula>_xlfn.XLOOKUP(Sales_Data[[#This Row],[Product_ID]],Product_Master[Product_ID],Product_Master[Product],"Not Found")</calculatedColumnFormula>
    </tableColumn>
    <tableColumn id="3" xr3:uid="{34C3158D-DE59-43E9-AE03-FEE488538D9A}" name="Order_Date" dataDxfId="16"/>
    <tableColumn id="4" xr3:uid="{3A19C258-8D44-440A-B6C4-A4E92CF538AF}" name="Customer_Type"/>
    <tableColumn id="5" xr3:uid="{2487E9EC-E6E1-48E7-AFFA-A660F548C6C3}" name="District"/>
    <tableColumn id="6" xr3:uid="{FD22982C-A238-4D4E-8184-3A08AC89CE15}" name="Salesperson"/>
    <tableColumn id="7" xr3:uid="{3617B285-5957-4DAD-9A7C-1BE35E83FC4B}" name="Lead_Source"/>
    <tableColumn id="8" xr3:uid="{75A2B411-1EFA-4643-999B-13620106C1CB}" name="Product_ID"/>
    <tableColumn id="9" xr3:uid="{DDECA93B-C44C-44C5-8CCE-CF7E2BEC485A}" name="Product2"/>
    <tableColumn id="10" xr3:uid="{72803463-7380-4479-98D7-FE0211B6DF5F}" name="Category"/>
    <tableColumn id="11" xr3:uid="{8D3541FD-2C4D-4D84-95B2-B606833EF78D}" name="Quantity"/>
    <tableColumn id="12" xr3:uid="{202E97D2-30A2-41E9-9E70-B98734BE2E7B}" name="Unit_Price"/>
    <tableColumn id="13" xr3:uid="{A6FB2638-C0E8-4305-9A6F-BF5EB0554D8E}" name="Discount_%"/>
    <tableColumn id="14" xr3:uid="{CAA37F38-49B7-479C-94A8-0E6BC008696F}" name="Gross_Value"/>
    <tableColumn id="15" xr3:uid="{FEF27677-9715-44BD-AAD3-FAB8ACCAC66F}" name="Discount_Value"/>
    <tableColumn id="16" xr3:uid="{C3E6F42A-3CC8-4154-BC28-3CEBE2AEB160}" name="Net_Sales"/>
    <tableColumn id="26" xr3:uid="{5A258F46-041B-4E16-A5C9-92A93B3D4D93}" name="Year" dataDxfId="15">
      <calculatedColumnFormula>YEAR(Sales_Data[[#This Row],[Order_Date]])</calculatedColumnFormula>
    </tableColumn>
    <tableColumn id="27" xr3:uid="{456AD382-C034-41EE-A2E6-3C7B5BD6A7E3}" name="MONTH" dataDxfId="14">
      <calculatedColumnFormula>TEXT(Sales_Data[[#This Row],[Order_Date]],"mmmm")</calculatedColumnFormula>
    </tableColumn>
    <tableColumn id="28" xr3:uid="{4BBF2AB4-9564-456B-8384-5F7BE2802A8C}" name="MONTH_NUMBER" dataDxfId="13">
      <calculatedColumnFormula>MONTH($D2)</calculatedColumnFormula>
    </tableColumn>
    <tableColumn id="29" xr3:uid="{0FA4A6A2-C66E-4117-BA55-E04467B0D698}" name="QUARTER" dataDxfId="12">
      <calculatedColumnFormula>"Q"&amp;ROUNDUP(MONTH(Sales_Data[[#This Row],[Order_Date]])/3,0)</calculatedColumnFormula>
    </tableColumn>
    <tableColumn id="17" xr3:uid="{0E64D6FA-07A4-4851-811C-03F2C18C47FB}" name="Lead_Status"/>
    <tableColumn id="18" xr3:uid="{83A702DC-6430-447D-9A7A-394A37D31A4F}" name="Payment_Status"/>
    <tableColumn id="19" xr3:uid="{7E117616-C91C-4433-8054-9A9EFE585109}" name="Installation_Status"/>
    <tableColumn id="20" xr3:uid="{797BC6EA-771D-494D-8B5B-BD3AA9544840}" name="Site_Visit_Days"/>
    <tableColumn id="21" xr3:uid="{670B7F36-ED50-4C8A-9F0D-D5784F11A621}" name="Installation_Days"/>
    <tableColumn id="22" xr3:uid="{3E69D093-A5AD-4C1C-8FB0-6AF48F096D0F}" name="Customer_Rating"/>
    <tableColumn id="23" xr3:uid="{44EA8E52-2248-46DC-9442-6C434EFC8699}" name="Month2"/>
    <tableColumn id="24" xr3:uid="{6E2F5AF6-0E69-4B10-8E7B-2E6E13A84D28}" name="Quarter2"/>
    <tableColumn id="25" xr3:uid="{AA0857D8-1C4F-4C34-940E-E910F6C62469}" name="Year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CC39F9-249C-4EF2-9AA1-06B7EBFA8ABD}" name="Product_Master" displayName="Product_Master" ref="A1:F9" totalsRowShown="0" headerRowDxfId="11" headerRowBorderDxfId="10" tableBorderDxfId="9">
  <autoFilter ref="A1:F9" xr:uid="{C8CC39F9-249C-4EF2-9AA1-06B7EBFA8ABD}"/>
  <tableColumns count="6">
    <tableColumn id="1" xr3:uid="{5EAC30A1-F45C-4147-AF47-C39F52FEBC2E}" name="Product_ID"/>
    <tableColumn id="2" xr3:uid="{617CCAA4-80F8-452A-A925-2A291567EC1D}" name="Product"/>
    <tableColumn id="3" xr3:uid="{A52C7ADA-2DDC-4D5B-9F68-BB12DF45962D}" name="Category"/>
    <tableColumn id="4" xr3:uid="{FE2FF6CC-C256-4EDF-9758-81E3BD5258AF}" name="Standard_Price"/>
    <tableColumn id="5" xr3:uid="{D3F83329-B697-474D-988F-0E94D8BE18C0}" name="Warranty_Years"/>
    <tableColumn id="6" xr3:uid="{927B22BF-F125-4157-B0DE-4862D0F7BFA5}" name="Sales_Representativ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4F4373-6C6F-4F11-A099-61420C01A360}" name="Employee_Master" displayName="Employee_Master" ref="A1:F5" totalsRowShown="0" headerRowDxfId="8" headerRowBorderDxfId="7" tableBorderDxfId="6">
  <autoFilter ref="A1:F5" xr:uid="{394F4373-6C6F-4F11-A099-61420C01A360}"/>
  <tableColumns count="6">
    <tableColumn id="1" xr3:uid="{B889A77A-B1D3-47EC-9EAE-9988F2732116}" name="Employee_ID"/>
    <tableColumn id="2" xr3:uid="{B833F72E-57E1-4509-A5CB-6E476737B55F}" name="Salesperson"/>
    <tableColumn id="3" xr3:uid="{43C18E59-58A7-4C08-83E7-5E71DFD769D3}" name="Team"/>
    <tableColumn id="4" xr3:uid="{1B53C28F-8A06-4423-8C91-8DBD88EF4087}" name="Designation"/>
    <tableColumn id="5" xr3:uid="{7DC9C28D-8127-4D93-9908-1999066923F4}" name="Experience_Years"/>
    <tableColumn id="6" xr3:uid="{826B3E10-E11A-4CBC-ACE4-0F4D36217254}" name="Distric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C83DCF-5202-4A1D-A9AD-E6DE5DA3C2AD}" name="District_Master" displayName="District_Master" ref="A1:F5" totalsRowShown="0" headerRowDxfId="5" headerRowBorderDxfId="4" tableBorderDxfId="3">
  <autoFilter ref="A1:F5" xr:uid="{3CC83DCF-5202-4A1D-A9AD-E6DE5DA3C2AD}"/>
  <tableColumns count="6">
    <tableColumn id="1" xr3:uid="{6B44D824-64AF-45EE-8D48-D6DFA27198D0}" name="District_ID"/>
    <tableColumn id="2" xr3:uid="{D8DD5F38-62C4-4E43-8CE3-AE245C1A3EF8}" name="District"/>
    <tableColumn id="3" xr3:uid="{28DBCE5A-94E5-4BC3-AB75-E221F0BD9C85}" name="State"/>
    <tableColumn id="4" xr3:uid="{788743D5-2436-4133-8571-7065FC646D6F}" name="Region"/>
    <tableColumn id="5" xr3:uid="{3CBA42C9-E87B-4972-B481-2EB674565CF8}" name="Branch_Manager"/>
    <tableColumn id="6" xr3:uid="{11947F7A-0DFD-4E59-9427-18DEC1828826}" name="Monthly_Targe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BD881C-B7FC-4ED7-8D22-A04A5338B955}" name="Monthly_Target" displayName="Monthly_Target" ref="A1:M2" totalsRowShown="0" headerRowDxfId="2" headerRowBorderDxfId="1" tableBorderDxfId="0">
  <autoFilter ref="A1:M2" xr:uid="{89BD881C-B7FC-4ED7-8D22-A04A5338B955}"/>
  <tableColumns count="13">
    <tableColumn id="1" xr3:uid="{96653883-7A0B-4921-8F6C-21BC97B45BF2}" name="Months"/>
    <tableColumn id="2" xr3:uid="{7F23CB0D-190E-498D-8F60-A77B5B51625E}" name="Jan"/>
    <tableColumn id="3" xr3:uid="{E7F2F184-7239-4950-8AE2-DB8565525B58}" name="Feb"/>
    <tableColumn id="4" xr3:uid="{F1C60AF4-2B4C-4731-B83E-6FFFEC52B2A5}" name="Mar"/>
    <tableColumn id="5" xr3:uid="{90F792E0-436A-4202-9513-FC4E5795B930}" name="Apr"/>
    <tableColumn id="6" xr3:uid="{DAE4C707-BD51-4857-B260-D2BFEDFE93BB}" name="May"/>
    <tableColumn id="7" xr3:uid="{1485B959-3A91-4868-A9AE-6FE058AFCC1A}" name="Jun"/>
    <tableColumn id="8" xr3:uid="{5355C99A-B13F-407F-A81D-E5FB4B138E09}" name="Jul"/>
    <tableColumn id="9" xr3:uid="{BE6920E0-CC82-43C3-B057-B0DB1B0261FC}" name="Aug"/>
    <tableColumn id="10" xr3:uid="{CFCCAA3D-79A0-427A-ACB2-672E5698499D}" name="Sep"/>
    <tableColumn id="11" xr3:uid="{AB70CCB0-892A-4947-BF35-06EEDA262AEA}" name="Oct"/>
    <tableColumn id="12" xr3:uid="{AADE507A-C77B-49E8-A04A-E71FD1B05C3D}" name="Nov"/>
    <tableColumn id="13" xr3:uid="{49BF5776-5CEB-4E83-A8FD-0105C29316A1}" name="Dec"/>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4678A-9364-492B-BA0C-38E047908EE3}">
  <dimension ref="A3:B9"/>
  <sheetViews>
    <sheetView workbookViewId="0">
      <selection activeCell="J22" sqref="J22"/>
    </sheetView>
  </sheetViews>
  <sheetFormatPr defaultRowHeight="14.25" x14ac:dyDescent="0.45"/>
  <cols>
    <col min="1" max="1" width="13.1328125" bestFit="1" customWidth="1"/>
    <col min="2" max="2" width="11.73046875" bestFit="1" customWidth="1"/>
    <col min="3" max="5" width="10.73046875" bestFit="1" customWidth="1"/>
    <col min="6" max="7" width="9.73046875" bestFit="1" customWidth="1"/>
    <col min="8" max="10" width="10.73046875" bestFit="1" customWidth="1"/>
    <col min="11" max="11" width="8.73046875" bestFit="1" customWidth="1"/>
    <col min="12" max="14" width="5.73046875" bestFit="1" customWidth="1"/>
    <col min="15" max="16" width="7.73046875" bestFit="1" customWidth="1"/>
    <col min="17" max="17" width="8.73046875" bestFit="1" customWidth="1"/>
    <col min="18" max="18" width="7.73046875" bestFit="1" customWidth="1"/>
    <col min="19" max="20" width="5.73046875" bestFit="1" customWidth="1"/>
    <col min="21" max="21" width="8.73046875" bestFit="1" customWidth="1"/>
    <col min="22" max="24" width="7.73046875" bestFit="1" customWidth="1"/>
    <col min="25" max="25" width="8.73046875" bestFit="1" customWidth="1"/>
    <col min="26" max="28" width="5.73046875" bestFit="1" customWidth="1"/>
    <col min="29" max="30" width="7.73046875" bestFit="1" customWidth="1"/>
    <col min="31" max="32" width="5.73046875" bestFit="1" customWidth="1"/>
    <col min="33" max="33" width="7.73046875" bestFit="1" customWidth="1"/>
    <col min="34" max="34" width="8.73046875" bestFit="1" customWidth="1"/>
    <col min="35" max="35" width="5.73046875" bestFit="1" customWidth="1"/>
    <col min="36" max="36" width="8.73046875" bestFit="1" customWidth="1"/>
    <col min="37" max="37" width="5.73046875" bestFit="1" customWidth="1"/>
    <col min="38" max="38" width="7.73046875" bestFit="1" customWidth="1"/>
    <col min="39" max="39" width="5.73046875" bestFit="1" customWidth="1"/>
    <col min="40" max="40" width="7.73046875" bestFit="1" customWidth="1"/>
    <col min="41" max="41" width="5.73046875" bestFit="1" customWidth="1"/>
    <col min="42" max="45" width="7.73046875" bestFit="1" customWidth="1"/>
    <col min="46" max="46" width="8.73046875" bestFit="1" customWidth="1"/>
    <col min="47" max="47" width="5.73046875" bestFit="1" customWidth="1"/>
    <col min="48" max="49" width="7.73046875" bestFit="1" customWidth="1"/>
    <col min="50" max="50" width="8.73046875" bestFit="1" customWidth="1"/>
    <col min="51" max="51" width="7.73046875" bestFit="1" customWidth="1"/>
    <col min="52" max="52" width="5.73046875" bestFit="1" customWidth="1"/>
    <col min="53" max="53" width="8.73046875" bestFit="1" customWidth="1"/>
    <col min="54" max="55" width="7.73046875" bestFit="1" customWidth="1"/>
    <col min="56" max="56" width="8.73046875" bestFit="1" customWidth="1"/>
    <col min="57" max="58" width="7.73046875" bestFit="1" customWidth="1"/>
    <col min="59" max="60" width="8.73046875" bestFit="1" customWidth="1"/>
    <col min="61" max="61" width="5.73046875" bestFit="1" customWidth="1"/>
    <col min="62" max="62" width="7.73046875" bestFit="1" customWidth="1"/>
    <col min="63" max="63" width="5.73046875" bestFit="1" customWidth="1"/>
    <col min="64" max="64" width="7.73046875" bestFit="1" customWidth="1"/>
    <col min="65" max="65" width="8.73046875" bestFit="1" customWidth="1"/>
    <col min="66" max="66" width="7.73046875" bestFit="1" customWidth="1"/>
    <col min="67" max="67" width="8.73046875" bestFit="1" customWidth="1"/>
    <col min="68" max="68" width="7.73046875" bestFit="1" customWidth="1"/>
    <col min="69" max="69" width="5.73046875" bestFit="1" customWidth="1"/>
    <col min="70" max="71" width="7.73046875" bestFit="1" customWidth="1"/>
    <col min="72" max="72" width="5.73046875" bestFit="1" customWidth="1"/>
    <col min="73" max="73" width="7.73046875" bestFit="1" customWidth="1"/>
    <col min="74" max="74" width="5.73046875" bestFit="1" customWidth="1"/>
    <col min="75" max="75" width="7.73046875" bestFit="1" customWidth="1"/>
    <col min="76" max="76" width="5.73046875" bestFit="1" customWidth="1"/>
    <col min="77" max="78" width="7.73046875" bestFit="1" customWidth="1"/>
    <col min="79" max="79" width="5.73046875" bestFit="1" customWidth="1"/>
    <col min="80" max="82" width="7.73046875" bestFit="1" customWidth="1"/>
    <col min="83" max="84" width="5.73046875" bestFit="1" customWidth="1"/>
    <col min="85" max="91" width="7.73046875" bestFit="1" customWidth="1"/>
    <col min="92" max="92" width="5.73046875" bestFit="1" customWidth="1"/>
    <col min="93" max="93" width="7.73046875" bestFit="1" customWidth="1"/>
    <col min="94" max="94" width="5.73046875" bestFit="1" customWidth="1"/>
    <col min="95" max="96" width="7.73046875" bestFit="1" customWidth="1"/>
    <col min="97" max="97" width="5.73046875" bestFit="1" customWidth="1"/>
    <col min="98" max="98" width="8.73046875" bestFit="1" customWidth="1"/>
    <col min="99" max="99" width="5.73046875" bestFit="1" customWidth="1"/>
    <col min="100" max="106" width="7.73046875" bestFit="1" customWidth="1"/>
    <col min="107" max="107" width="5.73046875" bestFit="1" customWidth="1"/>
    <col min="108" max="108" width="8.73046875" bestFit="1" customWidth="1"/>
    <col min="109" max="109" width="7.73046875" bestFit="1" customWidth="1"/>
    <col min="110" max="110" width="5.73046875" bestFit="1" customWidth="1"/>
    <col min="111" max="115" width="7.73046875" bestFit="1" customWidth="1"/>
    <col min="116" max="116" width="8.73046875" bestFit="1" customWidth="1"/>
    <col min="117" max="118" width="5.73046875" bestFit="1" customWidth="1"/>
    <col min="119" max="122" width="7.73046875" bestFit="1" customWidth="1"/>
    <col min="123" max="123" width="5.73046875" bestFit="1" customWidth="1"/>
    <col min="124" max="126" width="7.73046875" bestFit="1" customWidth="1"/>
    <col min="127" max="127" width="5.73046875" bestFit="1" customWidth="1"/>
    <col min="128" max="135" width="7.73046875" bestFit="1" customWidth="1"/>
    <col min="136" max="136" width="5.73046875" bestFit="1" customWidth="1"/>
    <col min="137" max="137" width="7.73046875" bestFit="1" customWidth="1"/>
    <col min="138" max="138" width="8.73046875" bestFit="1" customWidth="1"/>
    <col min="139" max="139" width="5.73046875" bestFit="1" customWidth="1"/>
    <col min="140" max="144" width="7.73046875" bestFit="1" customWidth="1"/>
    <col min="145" max="145" width="5.73046875" bestFit="1" customWidth="1"/>
    <col min="146" max="146" width="7.73046875" bestFit="1" customWidth="1"/>
    <col min="147" max="148" width="5.73046875" bestFit="1" customWidth="1"/>
    <col min="149" max="149" width="7.73046875" bestFit="1" customWidth="1"/>
    <col min="150" max="150" width="5.73046875" bestFit="1" customWidth="1"/>
    <col min="151" max="151" width="8.73046875" bestFit="1" customWidth="1"/>
    <col min="152" max="152" width="7.73046875" bestFit="1" customWidth="1"/>
    <col min="153" max="153" width="5.73046875" bestFit="1" customWidth="1"/>
    <col min="154" max="157" width="7.73046875" bestFit="1" customWidth="1"/>
    <col min="158" max="158" width="5.73046875" bestFit="1" customWidth="1"/>
    <col min="159" max="159" width="7.73046875" bestFit="1" customWidth="1"/>
    <col min="160" max="160" width="5.73046875" bestFit="1" customWidth="1"/>
    <col min="161" max="161" width="7.73046875" bestFit="1" customWidth="1"/>
    <col min="162" max="163" width="5.73046875" bestFit="1" customWidth="1"/>
    <col min="164" max="165" width="7.73046875" bestFit="1" customWidth="1"/>
    <col min="166" max="166" width="8.73046875" bestFit="1" customWidth="1"/>
    <col min="167" max="168" width="7.73046875" bestFit="1" customWidth="1"/>
    <col min="169" max="169" width="8.73046875" bestFit="1" customWidth="1"/>
    <col min="170" max="170" width="7.73046875" bestFit="1" customWidth="1"/>
    <col min="171" max="171" width="5.73046875" bestFit="1" customWidth="1"/>
    <col min="172" max="172" width="7.73046875" bestFit="1" customWidth="1"/>
    <col min="173" max="174" width="5.73046875" bestFit="1" customWidth="1"/>
    <col min="175" max="177" width="7.73046875" bestFit="1" customWidth="1"/>
    <col min="178" max="178" width="5.73046875" bestFit="1" customWidth="1"/>
    <col min="179" max="180" width="7.73046875" bestFit="1" customWidth="1"/>
    <col min="181" max="181" width="8.73046875" bestFit="1" customWidth="1"/>
    <col min="182" max="182" width="7.73046875" bestFit="1" customWidth="1"/>
    <col min="183" max="183" width="5.73046875" bestFit="1" customWidth="1"/>
    <col min="184" max="184" width="7.73046875" bestFit="1" customWidth="1"/>
    <col min="185" max="185" width="5.73046875" bestFit="1" customWidth="1"/>
    <col min="186" max="187" width="7.73046875" bestFit="1" customWidth="1"/>
    <col min="188" max="188" width="8.73046875" bestFit="1" customWidth="1"/>
    <col min="189" max="189" width="7.73046875" bestFit="1" customWidth="1"/>
    <col min="190" max="190" width="5.73046875" bestFit="1" customWidth="1"/>
    <col min="191" max="191" width="7.73046875" bestFit="1" customWidth="1"/>
    <col min="192" max="193" width="5.73046875" bestFit="1" customWidth="1"/>
    <col min="194" max="194" width="7.73046875" bestFit="1" customWidth="1"/>
    <col min="195" max="195" width="5.73046875" bestFit="1" customWidth="1"/>
    <col min="196" max="203" width="7.73046875" bestFit="1" customWidth="1"/>
    <col min="204" max="204" width="5.73046875" bestFit="1" customWidth="1"/>
    <col min="205" max="211" width="7.73046875" bestFit="1" customWidth="1"/>
    <col min="212" max="212" width="5.73046875" bestFit="1" customWidth="1"/>
    <col min="213" max="215" width="7.73046875" bestFit="1" customWidth="1"/>
    <col min="216" max="217" width="5.73046875" bestFit="1" customWidth="1"/>
    <col min="218" max="218" width="8.73046875" bestFit="1" customWidth="1"/>
    <col min="219" max="219" width="7.73046875" bestFit="1" customWidth="1"/>
    <col min="220" max="223" width="5.73046875" bestFit="1" customWidth="1"/>
    <col min="224" max="225" width="7.73046875" bestFit="1" customWidth="1"/>
    <col min="226" max="226" width="5.73046875" bestFit="1" customWidth="1"/>
    <col min="227" max="227" width="7.73046875" bestFit="1" customWidth="1"/>
    <col min="228" max="228" width="6.73046875" bestFit="1" customWidth="1"/>
    <col min="229" max="233" width="8.73046875" bestFit="1" customWidth="1"/>
    <col min="234" max="234" width="6.73046875" bestFit="1" customWidth="1"/>
    <col min="235" max="236" width="8.73046875" bestFit="1" customWidth="1"/>
    <col min="237" max="237" width="9.73046875" bestFit="1" customWidth="1"/>
    <col min="238" max="239" width="6.73046875" bestFit="1" customWidth="1"/>
    <col min="240" max="240" width="8.73046875" bestFit="1" customWidth="1"/>
    <col min="241" max="242" width="6.73046875" bestFit="1" customWidth="1"/>
    <col min="243" max="249" width="8.73046875" bestFit="1" customWidth="1"/>
    <col min="250" max="250" width="9.73046875" bestFit="1" customWidth="1"/>
    <col min="251" max="251" width="6.73046875" bestFit="1" customWidth="1"/>
    <col min="252" max="253" width="8.73046875" bestFit="1" customWidth="1"/>
    <col min="254" max="254" width="6.73046875" bestFit="1" customWidth="1"/>
    <col min="255" max="255" width="9.73046875" bestFit="1" customWidth="1"/>
    <col min="256" max="256" width="6.73046875" bestFit="1" customWidth="1"/>
    <col min="257" max="257" width="8.73046875" bestFit="1" customWidth="1"/>
    <col min="258" max="258" width="9.73046875" bestFit="1" customWidth="1"/>
    <col min="259" max="264" width="8.73046875" bestFit="1" customWidth="1"/>
    <col min="265" max="265" width="9.73046875" bestFit="1" customWidth="1"/>
    <col min="266" max="267" width="8.73046875" bestFit="1" customWidth="1"/>
    <col min="268" max="268" width="9.73046875" bestFit="1" customWidth="1"/>
    <col min="269" max="270" width="6.73046875" bestFit="1" customWidth="1"/>
    <col min="271" max="271" width="8.73046875" bestFit="1" customWidth="1"/>
    <col min="272" max="274" width="6.73046875" bestFit="1" customWidth="1"/>
    <col min="275" max="276" width="8.73046875" bestFit="1" customWidth="1"/>
    <col min="277" max="277" width="6.73046875" bestFit="1" customWidth="1"/>
    <col min="278" max="279" width="8.73046875" bestFit="1" customWidth="1"/>
    <col min="280" max="280" width="6.73046875" bestFit="1" customWidth="1"/>
    <col min="281" max="282" width="8.73046875" bestFit="1" customWidth="1"/>
    <col min="283" max="283" width="9.73046875" bestFit="1" customWidth="1"/>
    <col min="284" max="285" width="6.73046875" bestFit="1" customWidth="1"/>
    <col min="286" max="286" width="8.73046875" bestFit="1" customWidth="1"/>
    <col min="287" max="288" width="6.73046875" bestFit="1" customWidth="1"/>
    <col min="289" max="289" width="8.73046875" bestFit="1" customWidth="1"/>
    <col min="290" max="290" width="9.73046875" bestFit="1" customWidth="1"/>
    <col min="291" max="291" width="6.73046875" bestFit="1" customWidth="1"/>
    <col min="292" max="292" width="8.73046875" bestFit="1" customWidth="1"/>
    <col min="293" max="293" width="9.73046875" bestFit="1" customWidth="1"/>
    <col min="294" max="294" width="6.73046875" bestFit="1" customWidth="1"/>
    <col min="295" max="296" width="8.73046875" bestFit="1" customWidth="1"/>
    <col min="297" max="297" width="6.73046875" bestFit="1" customWidth="1"/>
    <col min="298" max="298" width="8.73046875" bestFit="1" customWidth="1"/>
    <col min="299" max="299" width="6.73046875" bestFit="1" customWidth="1"/>
    <col min="300" max="300" width="8.73046875" bestFit="1" customWidth="1"/>
    <col min="301" max="301" width="6.73046875" bestFit="1" customWidth="1"/>
    <col min="302" max="303" width="8.73046875" bestFit="1" customWidth="1"/>
    <col min="304" max="304" width="6.73046875" bestFit="1" customWidth="1"/>
    <col min="305" max="308" width="8.73046875" bestFit="1" customWidth="1"/>
    <col min="309" max="309" width="9.73046875" bestFit="1" customWidth="1"/>
    <col min="310" max="310" width="6.73046875" bestFit="1" customWidth="1"/>
    <col min="311" max="311" width="8.73046875" bestFit="1" customWidth="1"/>
    <col min="312" max="312" width="6.73046875" bestFit="1" customWidth="1"/>
    <col min="313" max="314" width="8.73046875" bestFit="1" customWidth="1"/>
    <col min="315" max="315" width="6.73046875" bestFit="1" customWidth="1"/>
    <col min="316" max="317" width="8.73046875" bestFit="1" customWidth="1"/>
    <col min="318" max="321" width="6.73046875" bestFit="1" customWidth="1"/>
    <col min="322" max="323" width="8.73046875" bestFit="1" customWidth="1"/>
    <col min="324" max="324" width="9.73046875" bestFit="1" customWidth="1"/>
    <col min="325" max="328" width="6.73046875" bestFit="1" customWidth="1"/>
    <col min="329" max="334" width="8.73046875" bestFit="1" customWidth="1"/>
    <col min="335" max="336" width="6.73046875" bestFit="1" customWidth="1"/>
    <col min="337" max="338" width="8.73046875" bestFit="1" customWidth="1"/>
    <col min="339" max="339" width="6.73046875" bestFit="1" customWidth="1"/>
    <col min="340" max="342" width="8.73046875" bestFit="1" customWidth="1"/>
    <col min="343" max="344" width="6.73046875" bestFit="1" customWidth="1"/>
    <col min="345" max="346" width="8.73046875" bestFit="1" customWidth="1"/>
    <col min="347" max="348" width="6.73046875" bestFit="1" customWidth="1"/>
    <col min="349" max="349" width="9.73046875" bestFit="1" customWidth="1"/>
    <col min="350" max="353" width="8.73046875" bestFit="1" customWidth="1"/>
    <col min="354" max="354" width="6.73046875" bestFit="1" customWidth="1"/>
    <col min="355" max="355" width="9.73046875" bestFit="1" customWidth="1"/>
    <col min="356" max="357" width="8.73046875" bestFit="1" customWidth="1"/>
    <col min="358" max="358" width="9.73046875" bestFit="1" customWidth="1"/>
    <col min="359" max="363" width="8.73046875" bestFit="1" customWidth="1"/>
    <col min="364" max="364" width="9.73046875" bestFit="1" customWidth="1"/>
    <col min="365" max="365" width="6.73046875" bestFit="1" customWidth="1"/>
    <col min="366" max="366" width="8.73046875" bestFit="1" customWidth="1"/>
    <col min="367" max="369" width="6.73046875" bestFit="1" customWidth="1"/>
    <col min="370" max="374" width="8.73046875" bestFit="1" customWidth="1"/>
    <col min="375" max="375" width="6.73046875" bestFit="1" customWidth="1"/>
    <col min="376" max="377" width="8.73046875" bestFit="1" customWidth="1"/>
    <col min="378" max="378" width="6.73046875" bestFit="1" customWidth="1"/>
    <col min="379" max="380" width="8.73046875" bestFit="1" customWidth="1"/>
    <col min="381" max="382" width="6.73046875" bestFit="1" customWidth="1"/>
    <col min="383" max="385" width="8.73046875" bestFit="1" customWidth="1"/>
    <col min="386" max="386" width="6.73046875" bestFit="1" customWidth="1"/>
    <col min="387" max="389" width="8.73046875" bestFit="1" customWidth="1"/>
    <col min="390" max="390" width="6.73046875" bestFit="1" customWidth="1"/>
    <col min="391" max="392" width="8.73046875" bestFit="1" customWidth="1"/>
    <col min="393" max="393" width="9.73046875" bestFit="1" customWidth="1"/>
    <col min="394" max="394" width="6.73046875" bestFit="1" customWidth="1"/>
    <col min="395" max="395" width="8.73046875" bestFit="1" customWidth="1"/>
    <col min="396" max="398" width="6.73046875" bestFit="1" customWidth="1"/>
    <col min="399" max="400" width="8.73046875" bestFit="1" customWidth="1"/>
    <col min="401" max="401" width="6.73046875" bestFit="1" customWidth="1"/>
    <col min="402" max="402" width="8.73046875" bestFit="1" customWidth="1"/>
    <col min="403" max="405" width="6.73046875" bestFit="1" customWidth="1"/>
    <col min="406" max="406" width="9.73046875" bestFit="1" customWidth="1"/>
    <col min="407" max="407" width="8.73046875" bestFit="1" customWidth="1"/>
    <col min="408" max="408" width="6.73046875" bestFit="1" customWidth="1"/>
    <col min="409" max="409" width="8.73046875" bestFit="1" customWidth="1"/>
    <col min="410" max="410" width="6.73046875" bestFit="1" customWidth="1"/>
    <col min="411" max="412" width="8.73046875" bestFit="1" customWidth="1"/>
    <col min="413" max="414" width="6.73046875" bestFit="1" customWidth="1"/>
    <col min="415" max="415" width="8.73046875" bestFit="1" customWidth="1"/>
    <col min="416" max="417" width="6.73046875" bestFit="1" customWidth="1"/>
    <col min="418" max="419" width="8.73046875" bestFit="1" customWidth="1"/>
    <col min="420" max="422" width="6.73046875" bestFit="1" customWidth="1"/>
    <col min="423" max="423" width="10.19921875" bestFit="1" customWidth="1"/>
  </cols>
  <sheetData>
    <row r="3" spans="1:2" x14ac:dyDescent="0.45">
      <c r="A3" s="9" t="s">
        <v>991</v>
      </c>
      <c r="B3" t="s">
        <v>1015</v>
      </c>
    </row>
    <row r="4" spans="1:2" x14ac:dyDescent="0.45">
      <c r="A4" s="10" t="s">
        <v>50</v>
      </c>
      <c r="B4" s="11">
        <v>7349314.8499999987</v>
      </c>
    </row>
    <row r="5" spans="1:2" x14ac:dyDescent="0.45">
      <c r="A5" s="10" t="s">
        <v>61</v>
      </c>
      <c r="B5" s="11">
        <v>6498767.8499999996</v>
      </c>
    </row>
    <row r="6" spans="1:2" x14ac:dyDescent="0.45">
      <c r="A6" s="10" t="s">
        <v>40</v>
      </c>
      <c r="B6" s="11">
        <v>6165693.7000000011</v>
      </c>
    </row>
    <row r="7" spans="1:2" x14ac:dyDescent="0.45">
      <c r="A7" s="10" t="s">
        <v>111</v>
      </c>
      <c r="B7" s="11">
        <v>5996814.5000000019</v>
      </c>
    </row>
    <row r="8" spans="1:2" x14ac:dyDescent="0.45">
      <c r="A8" s="10" t="s">
        <v>82</v>
      </c>
      <c r="B8" s="11">
        <v>5721954.6499999994</v>
      </c>
    </row>
    <row r="9" spans="1:2" x14ac:dyDescent="0.45">
      <c r="A9" s="10" t="s">
        <v>988</v>
      </c>
      <c r="B9" s="11">
        <v>31732545.550000001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A33C-FDC0-4BFE-A812-6FEEBAAB6091}">
  <dimension ref="A3:B8"/>
  <sheetViews>
    <sheetView workbookViewId="0">
      <selection activeCell="H3" sqref="H3"/>
    </sheetView>
  </sheetViews>
  <sheetFormatPr defaultRowHeight="14.25" x14ac:dyDescent="0.45"/>
  <cols>
    <col min="1" max="1" width="18.9296875" bestFit="1" customWidth="1"/>
    <col min="2" max="2" width="11.73046875" bestFit="1" customWidth="1"/>
  </cols>
  <sheetData>
    <row r="3" spans="1:2" x14ac:dyDescent="0.45">
      <c r="A3" s="9" t="s">
        <v>992</v>
      </c>
      <c r="B3" t="s">
        <v>993</v>
      </c>
    </row>
    <row r="4" spans="1:2" x14ac:dyDescent="0.45">
      <c r="A4" s="10" t="s">
        <v>26</v>
      </c>
      <c r="B4" s="11">
        <v>12067506.149999999</v>
      </c>
    </row>
    <row r="5" spans="1:2" x14ac:dyDescent="0.45">
      <c r="A5" s="10" t="s">
        <v>60</v>
      </c>
      <c r="B5" s="11">
        <v>11874875.050000003</v>
      </c>
    </row>
    <row r="6" spans="1:2" x14ac:dyDescent="0.45">
      <c r="A6" s="10" t="s">
        <v>70</v>
      </c>
      <c r="B6" s="11">
        <v>11581372.4</v>
      </c>
    </row>
    <row r="7" spans="1:2" x14ac:dyDescent="0.45">
      <c r="A7" s="10" t="s">
        <v>39</v>
      </c>
      <c r="B7" s="11">
        <v>10829805.299999997</v>
      </c>
    </row>
    <row r="8" spans="1:2" x14ac:dyDescent="0.45">
      <c r="A8" s="10" t="s">
        <v>988</v>
      </c>
      <c r="B8" s="11">
        <v>46353558.899999999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63B96-A8F9-4225-BEC7-64345C1C4F17}">
  <dimension ref="A1:O5"/>
  <sheetViews>
    <sheetView showGridLines="0" tabSelected="1" zoomScale="70" zoomScaleNormal="70" workbookViewId="0">
      <selection activeCell="Q11" sqref="Q11"/>
    </sheetView>
  </sheetViews>
  <sheetFormatPr defaultRowHeight="14.25" x14ac:dyDescent="0.45"/>
  <sheetData>
    <row r="1" spans="1:15" ht="48.4" customHeight="1" x14ac:dyDescent="0.45">
      <c r="A1" s="14" t="s">
        <v>1016</v>
      </c>
      <c r="B1" s="14"/>
      <c r="C1" s="14"/>
      <c r="D1" s="14"/>
      <c r="E1" s="14"/>
      <c r="F1" s="14"/>
      <c r="G1" s="14"/>
      <c r="H1" s="14"/>
      <c r="I1" s="14"/>
      <c r="J1" s="14"/>
      <c r="K1" s="14"/>
      <c r="L1" s="14"/>
      <c r="M1" s="14"/>
      <c r="N1" s="14"/>
      <c r="O1" s="14"/>
    </row>
    <row r="2" spans="1:15" ht="15.4" customHeight="1" x14ac:dyDescent="0.75">
      <c r="A2" s="15" t="s">
        <v>1022</v>
      </c>
      <c r="B2" s="16"/>
      <c r="C2" s="16"/>
      <c r="D2" s="16"/>
      <c r="E2" s="16"/>
      <c r="F2" s="16"/>
      <c r="G2" s="16"/>
      <c r="H2" s="16"/>
      <c r="I2" s="16"/>
      <c r="J2" s="16"/>
      <c r="K2" s="16"/>
      <c r="L2" s="16"/>
      <c r="M2" s="16"/>
      <c r="N2" s="16"/>
      <c r="O2" s="16"/>
    </row>
    <row r="3" spans="1:15" ht="6.4" hidden="1" customHeight="1" x14ac:dyDescent="0.45"/>
    <row r="4" spans="1:15" ht="18" x14ac:dyDescent="0.45">
      <c r="A4" s="18" t="s">
        <v>1017</v>
      </c>
      <c r="B4" s="18"/>
      <c r="C4" s="18"/>
      <c r="D4" s="18" t="s">
        <v>1018</v>
      </c>
      <c r="E4" s="18"/>
      <c r="F4" s="18"/>
      <c r="G4" s="18" t="s">
        <v>1019</v>
      </c>
      <c r="H4" s="18"/>
      <c r="I4" s="18"/>
      <c r="J4" s="18" t="s">
        <v>1020</v>
      </c>
      <c r="K4" s="18"/>
      <c r="L4" s="18"/>
      <c r="M4" s="18" t="s">
        <v>1021</v>
      </c>
      <c r="N4" s="18"/>
      <c r="O4" s="18"/>
    </row>
    <row r="5" spans="1:15" ht="21" x14ac:dyDescent="0.65">
      <c r="A5" s="19">
        <f>SUM(Sales_Data!Q:Q)</f>
        <v>46353558.900000028</v>
      </c>
      <c r="B5" s="19"/>
      <c r="C5" s="19"/>
      <c r="D5" s="20">
        <f>COUNTA(Sales_Data!A:A)-1</f>
        <v>421</v>
      </c>
      <c r="E5" s="20"/>
      <c r="F5" s="20"/>
      <c r="G5" s="20" t="str">
        <f>INDEX(PVT_Top5_Salespersons!A4:A8,MATCH(MAX(PVT_Top5_Salespersons!B4:B8),PVT_Top5_Salespersons!B4:B8,0))</f>
        <v>Sneha</v>
      </c>
      <c r="H5" s="20"/>
      <c r="I5" s="20"/>
      <c r="J5" s="21" t="str">
        <f>INDEX('Top 5 Products by Sum of Netsal'!A2:A6,MATCH(MAX('Top 5 Products by Sum of Netsal'!B2:B6),'Top 5 Products by Sum of Netsal'!B2:B6,0))</f>
        <v>French Doors</v>
      </c>
      <c r="K5" s="22"/>
      <c r="L5" s="23"/>
      <c r="M5" s="17">
        <f>46353558.9/421</f>
        <v>110103.46532066508</v>
      </c>
      <c r="N5" s="17"/>
      <c r="O5" s="17"/>
    </row>
  </sheetData>
  <mergeCells count="12">
    <mergeCell ref="A1:O1"/>
    <mergeCell ref="A2:O2"/>
    <mergeCell ref="M5:O5"/>
    <mergeCell ref="M4:O4"/>
    <mergeCell ref="A4:C4"/>
    <mergeCell ref="D4:F4"/>
    <mergeCell ref="G4:I4"/>
    <mergeCell ref="J4:L4"/>
    <mergeCell ref="A5:C5"/>
    <mergeCell ref="D5:F5"/>
    <mergeCell ref="G5:I5"/>
    <mergeCell ref="J5:L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5171-1D5E-4283-A665-3C35FFE51008}">
  <dimension ref="A3:B9"/>
  <sheetViews>
    <sheetView workbookViewId="0">
      <selection activeCell="B4" sqref="B4"/>
    </sheetView>
  </sheetViews>
  <sheetFormatPr defaultRowHeight="14.25" x14ac:dyDescent="0.45"/>
  <cols>
    <col min="1" max="1" width="17.796875" bestFit="1" customWidth="1"/>
    <col min="2" max="2" width="11.73046875" bestFit="1" customWidth="1"/>
  </cols>
  <sheetData>
    <row r="3" spans="1:2" x14ac:dyDescent="0.45">
      <c r="A3" s="9" t="s">
        <v>8</v>
      </c>
      <c r="B3" t="s">
        <v>993</v>
      </c>
    </row>
    <row r="4" spans="1:2" x14ac:dyDescent="0.45">
      <c r="A4" s="10" t="s">
        <v>85</v>
      </c>
      <c r="B4" s="11">
        <v>9280504.799999997</v>
      </c>
    </row>
    <row r="5" spans="1:2" x14ac:dyDescent="0.45">
      <c r="A5" s="10" t="s">
        <v>42</v>
      </c>
      <c r="B5" s="11">
        <v>8533032</v>
      </c>
    </row>
    <row r="6" spans="1:2" x14ac:dyDescent="0.45">
      <c r="A6" s="10" t="s">
        <v>102</v>
      </c>
      <c r="B6" s="11">
        <v>6363407.2000000002</v>
      </c>
    </row>
    <row r="7" spans="1:2" x14ac:dyDescent="0.45">
      <c r="A7" s="10" t="s">
        <v>30</v>
      </c>
      <c r="B7" s="11">
        <v>5258497.3999999985</v>
      </c>
    </row>
    <row r="8" spans="1:2" x14ac:dyDescent="0.45">
      <c r="A8" s="10" t="s">
        <v>76</v>
      </c>
      <c r="B8" s="11">
        <v>4570298.55</v>
      </c>
    </row>
    <row r="9" spans="1:2" x14ac:dyDescent="0.45">
      <c r="A9" s="10" t="s">
        <v>988</v>
      </c>
      <c r="B9" s="11">
        <v>34005739.949999996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2B86C-0078-46BD-B2A6-59118C34C5EF}">
  <dimension ref="A1:B16"/>
  <sheetViews>
    <sheetView workbookViewId="0">
      <selection activeCell="A16" sqref="A16"/>
    </sheetView>
  </sheetViews>
  <sheetFormatPr defaultRowHeight="14.25" x14ac:dyDescent="0.45"/>
  <cols>
    <col min="1" max="1" width="10.19921875" bestFit="1" customWidth="1"/>
    <col min="2" max="2" width="10.73046875" bestFit="1" customWidth="1"/>
    <col min="3" max="3" width="7.73046875" bestFit="1" customWidth="1"/>
    <col min="4" max="4" width="8.73046875" bestFit="1" customWidth="1"/>
    <col min="5" max="8" width="7.73046875" bestFit="1" customWidth="1"/>
    <col min="9" max="9" width="8.73046875" bestFit="1" customWidth="1"/>
    <col min="10" max="10" width="5.73046875" bestFit="1" customWidth="1"/>
    <col min="11" max="12" width="7.73046875" bestFit="1" customWidth="1"/>
    <col min="13" max="14" width="5.73046875" bestFit="1" customWidth="1"/>
    <col min="15" max="15" width="7.73046875" bestFit="1" customWidth="1"/>
    <col min="16" max="16" width="5.73046875" bestFit="1" customWidth="1"/>
    <col min="17" max="18" width="7.73046875" bestFit="1" customWidth="1"/>
    <col min="19" max="19" width="8.73046875" bestFit="1" customWidth="1"/>
    <col min="20" max="20" width="6.73046875" bestFit="1" customWidth="1"/>
    <col min="21" max="21" width="8.73046875" bestFit="1" customWidth="1"/>
    <col min="22" max="22" width="9.73046875" bestFit="1" customWidth="1"/>
    <col min="23" max="23" width="6.73046875" bestFit="1" customWidth="1"/>
    <col min="24" max="25" width="8.73046875" bestFit="1" customWidth="1"/>
    <col min="26" max="28" width="6.73046875" bestFit="1" customWidth="1"/>
    <col min="29" max="29" width="8.73046875" bestFit="1" customWidth="1"/>
    <col min="30" max="30" width="6.73046875" bestFit="1" customWidth="1"/>
    <col min="31" max="32" width="8.73046875" bestFit="1" customWidth="1"/>
    <col min="33" max="34" width="6.73046875" bestFit="1" customWidth="1"/>
    <col min="35" max="35" width="10.19921875" bestFit="1" customWidth="1"/>
  </cols>
  <sheetData>
    <row r="1" spans="1:2" x14ac:dyDescent="0.45">
      <c r="A1" s="9" t="s">
        <v>5</v>
      </c>
      <c r="B1" t="s">
        <v>82</v>
      </c>
    </row>
    <row r="3" spans="1:2" x14ac:dyDescent="0.45">
      <c r="A3" s="9" t="s">
        <v>970</v>
      </c>
      <c r="B3" t="s">
        <v>993</v>
      </c>
    </row>
    <row r="4" spans="1:2" x14ac:dyDescent="0.45">
      <c r="A4" s="10" t="s">
        <v>998</v>
      </c>
      <c r="B4" s="11">
        <v>0</v>
      </c>
    </row>
    <row r="5" spans="1:2" x14ac:dyDescent="0.45">
      <c r="A5" s="10" t="s">
        <v>999</v>
      </c>
      <c r="B5" s="11">
        <v>876319.20000000019</v>
      </c>
    </row>
    <row r="6" spans="1:2" x14ac:dyDescent="0.45">
      <c r="A6" s="10" t="s">
        <v>1000</v>
      </c>
      <c r="B6" s="11">
        <v>855786.7</v>
      </c>
    </row>
    <row r="7" spans="1:2" x14ac:dyDescent="0.45">
      <c r="A7" s="10" t="s">
        <v>1001</v>
      </c>
      <c r="B7" s="11">
        <v>238214.19999999998</v>
      </c>
    </row>
    <row r="8" spans="1:2" x14ac:dyDescent="0.45">
      <c r="A8" s="10" t="s">
        <v>72</v>
      </c>
      <c r="B8" s="11">
        <v>802665.8</v>
      </c>
    </row>
    <row r="9" spans="1:2" x14ac:dyDescent="0.45">
      <c r="A9" s="10" t="s">
        <v>1002</v>
      </c>
      <c r="B9" s="11">
        <v>471945.55</v>
      </c>
    </row>
    <row r="10" spans="1:2" x14ac:dyDescent="0.45">
      <c r="A10" s="10" t="s">
        <v>1003</v>
      </c>
      <c r="B10" s="11">
        <v>414507.6</v>
      </c>
    </row>
    <row r="11" spans="1:2" x14ac:dyDescent="0.45">
      <c r="A11" s="10" t="s">
        <v>1004</v>
      </c>
      <c r="B11" s="11">
        <v>853973.60000000009</v>
      </c>
    </row>
    <row r="12" spans="1:2" x14ac:dyDescent="0.45">
      <c r="A12" s="10" t="s">
        <v>1005</v>
      </c>
      <c r="B12" s="11">
        <v>413624.4</v>
      </c>
    </row>
    <row r="13" spans="1:2" x14ac:dyDescent="0.45">
      <c r="A13" s="10" t="s">
        <v>1006</v>
      </c>
      <c r="B13" s="11">
        <v>160012.79999999999</v>
      </c>
    </row>
    <row r="14" spans="1:2" x14ac:dyDescent="0.45">
      <c r="A14" s="10" t="s">
        <v>1007</v>
      </c>
      <c r="B14" s="11">
        <v>172484.6</v>
      </c>
    </row>
    <row r="15" spans="1:2" x14ac:dyDescent="0.45">
      <c r="A15" s="10" t="s">
        <v>1008</v>
      </c>
      <c r="B15" s="11">
        <v>462420.2</v>
      </c>
    </row>
    <row r="16" spans="1:2" x14ac:dyDescent="0.45">
      <c r="A16" s="10" t="s">
        <v>988</v>
      </c>
      <c r="B16" s="11">
        <v>5721954.6500000004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66B7-896F-4E3E-A3C3-CA3F443DF07F}">
  <dimension ref="A1:F8"/>
  <sheetViews>
    <sheetView workbookViewId="0">
      <selection activeCell="B6" sqref="B6"/>
    </sheetView>
  </sheetViews>
  <sheetFormatPr defaultRowHeight="14.25" x14ac:dyDescent="0.45"/>
  <cols>
    <col min="1" max="1" width="10.19921875" bestFit="1" customWidth="1"/>
    <col min="2" max="5" width="10.73046875" bestFit="1" customWidth="1"/>
    <col min="6" max="6" width="15.9296875" customWidth="1"/>
    <col min="7" max="9" width="10.73046875" bestFit="1" customWidth="1"/>
    <col min="10" max="10" width="11.73046875" bestFit="1" customWidth="1"/>
  </cols>
  <sheetData>
    <row r="1" spans="1:6" x14ac:dyDescent="0.45">
      <c r="A1" s="9" t="s">
        <v>5</v>
      </c>
      <c r="B1" t="s">
        <v>82</v>
      </c>
    </row>
    <row r="2" spans="1:6" x14ac:dyDescent="0.45">
      <c r="D2" s="4" t="s">
        <v>1011</v>
      </c>
      <c r="E2" s="4" t="s">
        <v>1012</v>
      </c>
      <c r="F2" s="4" t="s">
        <v>1013</v>
      </c>
    </row>
    <row r="3" spans="1:6" ht="28.5" x14ac:dyDescent="0.45">
      <c r="A3" s="9" t="s">
        <v>1009</v>
      </c>
      <c r="B3" t="s">
        <v>1010</v>
      </c>
      <c r="D3" s="5" t="s">
        <v>996</v>
      </c>
      <c r="E3" s="5" t="s">
        <v>1014</v>
      </c>
      <c r="F3" s="5" t="s">
        <v>995</v>
      </c>
    </row>
    <row r="4" spans="1:6" x14ac:dyDescent="0.45">
      <c r="A4" s="10" t="s">
        <v>56</v>
      </c>
      <c r="B4" s="11">
        <v>1732105.9000000001</v>
      </c>
      <c r="D4" s="5" t="s">
        <v>56</v>
      </c>
      <c r="E4" s="5">
        <f>B4</f>
        <v>1732105.9000000001</v>
      </c>
      <c r="F4" s="13">
        <v>1399592.27</v>
      </c>
    </row>
    <row r="5" spans="1:6" x14ac:dyDescent="0.45">
      <c r="A5" s="10" t="s">
        <v>47</v>
      </c>
      <c r="B5" s="11">
        <v>1512825.5500000003</v>
      </c>
      <c r="D5" s="5" t="s">
        <v>47</v>
      </c>
      <c r="E5" s="5">
        <f>B5</f>
        <v>1512825.5500000003</v>
      </c>
      <c r="F5" s="13">
        <v>1646009.69</v>
      </c>
    </row>
    <row r="6" spans="1:6" x14ac:dyDescent="0.45">
      <c r="A6" s="10" t="s">
        <v>90</v>
      </c>
      <c r="B6" s="11">
        <v>1682105.6</v>
      </c>
      <c r="D6" s="5" t="s">
        <v>90</v>
      </c>
      <c r="E6" s="5">
        <f>B6</f>
        <v>1682105.6</v>
      </c>
      <c r="F6" s="13">
        <v>1381220.73</v>
      </c>
    </row>
    <row r="7" spans="1:6" x14ac:dyDescent="0.45">
      <c r="A7" s="10" t="s">
        <v>36</v>
      </c>
      <c r="B7" s="11">
        <v>794917.60000000009</v>
      </c>
      <c r="D7" s="5" t="s">
        <v>36</v>
      </c>
      <c r="E7" s="5">
        <f>B7</f>
        <v>794917.60000000009</v>
      </c>
      <c r="F7" s="13">
        <v>1367372.17</v>
      </c>
    </row>
    <row r="8" spans="1:6" x14ac:dyDescent="0.45">
      <c r="A8" s="10" t="s">
        <v>988</v>
      </c>
      <c r="B8" s="11">
        <v>5721954.6500000004</v>
      </c>
      <c r="D8" s="5"/>
      <c r="E8" s="5"/>
      <c r="F8" s="13"/>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0785-2981-48A2-9254-EE0CD34BB824}">
  <dimension ref="A3:N8"/>
  <sheetViews>
    <sheetView workbookViewId="0">
      <selection activeCell="C16" sqref="C16"/>
    </sheetView>
  </sheetViews>
  <sheetFormatPr defaultRowHeight="14.25" x14ac:dyDescent="0.45"/>
  <cols>
    <col min="1" max="1" width="15" bestFit="1" customWidth="1"/>
    <col min="2" max="2" width="14.73046875" bestFit="1" customWidth="1"/>
    <col min="3" max="9" width="10.73046875" bestFit="1" customWidth="1"/>
    <col min="10" max="10" width="11.73046875" bestFit="1" customWidth="1"/>
    <col min="11" max="11" width="18.3984375" bestFit="1" customWidth="1"/>
    <col min="12" max="12" width="15" bestFit="1" customWidth="1"/>
    <col min="13" max="13" width="18.3984375" bestFit="1" customWidth="1"/>
    <col min="14" max="14" width="15" bestFit="1" customWidth="1"/>
    <col min="15" max="15" width="18.3984375" bestFit="1" customWidth="1"/>
    <col min="16" max="16" width="15" bestFit="1" customWidth="1"/>
    <col min="17" max="17" width="18.3984375" bestFit="1" customWidth="1"/>
  </cols>
  <sheetData>
    <row r="3" spans="1:14" x14ac:dyDescent="0.45">
      <c r="A3" s="9" t="s">
        <v>990</v>
      </c>
      <c r="B3" s="9" t="s">
        <v>989</v>
      </c>
      <c r="M3" s="4"/>
      <c r="N3" s="4"/>
    </row>
    <row r="4" spans="1:14" ht="28.5" x14ac:dyDescent="0.45">
      <c r="A4" s="9" t="s">
        <v>987</v>
      </c>
      <c r="B4" t="s">
        <v>116</v>
      </c>
      <c r="C4" t="s">
        <v>27</v>
      </c>
      <c r="D4" t="s">
        <v>139</v>
      </c>
      <c r="E4" t="s">
        <v>61</v>
      </c>
      <c r="F4" t="s">
        <v>111</v>
      </c>
      <c r="G4" t="s">
        <v>40</v>
      </c>
      <c r="H4" t="s">
        <v>50</v>
      </c>
      <c r="I4" t="s">
        <v>82</v>
      </c>
      <c r="J4" t="s">
        <v>988</v>
      </c>
      <c r="K4" t="s">
        <v>995</v>
      </c>
      <c r="M4" s="5" t="s">
        <v>996</v>
      </c>
      <c r="N4" s="5" t="s">
        <v>997</v>
      </c>
    </row>
    <row r="5" spans="1:14" x14ac:dyDescent="0.45">
      <c r="A5" s="10" t="s">
        <v>56</v>
      </c>
      <c r="B5" s="11">
        <v>1575754.2499999998</v>
      </c>
      <c r="C5" s="11">
        <v>138369.20000000001</v>
      </c>
      <c r="D5" s="11">
        <v>1261736.9999999998</v>
      </c>
      <c r="E5" s="11">
        <v>1277045.6500000001</v>
      </c>
      <c r="F5" s="11">
        <v>1774255.2</v>
      </c>
      <c r="G5" s="11">
        <v>1685300.8</v>
      </c>
      <c r="H5" s="11">
        <v>1752170.1500000001</v>
      </c>
      <c r="I5" s="11">
        <v>1732105.9000000004</v>
      </c>
      <c r="J5" s="11">
        <v>11196738.15</v>
      </c>
      <c r="K5">
        <f>J5/8</f>
        <v>1399592.26875</v>
      </c>
      <c r="M5" s="5" t="s">
        <v>56</v>
      </c>
      <c r="N5" s="12">
        <f>H5/K5-1</f>
        <v>0.2519147105355859</v>
      </c>
    </row>
    <row r="6" spans="1:14" x14ac:dyDescent="0.45">
      <c r="A6" s="10" t="s">
        <v>47</v>
      </c>
      <c r="B6" s="11">
        <v>1563568.5499999998</v>
      </c>
      <c r="C6" s="11">
        <v>1080488.8500000001</v>
      </c>
      <c r="D6" s="11">
        <v>1630960.0500000003</v>
      </c>
      <c r="E6" s="11">
        <v>2319745.7000000002</v>
      </c>
      <c r="F6" s="11">
        <v>1100872.9499999997</v>
      </c>
      <c r="G6" s="11">
        <v>2037272.3</v>
      </c>
      <c r="H6" s="11">
        <v>1922343.6</v>
      </c>
      <c r="I6" s="11">
        <v>1512825.55</v>
      </c>
      <c r="J6" s="11">
        <v>13168077.550000001</v>
      </c>
      <c r="K6">
        <f t="shared" ref="K6:K8" si="0">J6/8</f>
        <v>1646009.6937500001</v>
      </c>
      <c r="M6" s="5" t="s">
        <v>47</v>
      </c>
      <c r="N6" s="12">
        <f t="shared" ref="N6:N7" si="1">H6/K6-1</f>
        <v>0.16788109286309605</v>
      </c>
    </row>
    <row r="7" spans="1:14" x14ac:dyDescent="0.45">
      <c r="A7" s="10" t="s">
        <v>90</v>
      </c>
      <c r="B7" s="11">
        <v>1344733.3499999999</v>
      </c>
      <c r="C7" s="11">
        <v>1008400.4500000001</v>
      </c>
      <c r="D7" s="11">
        <v>1036106.4999999999</v>
      </c>
      <c r="E7" s="11">
        <v>1598468.3</v>
      </c>
      <c r="F7" s="11">
        <v>1459635.45</v>
      </c>
      <c r="G7" s="11">
        <v>1061080.3500000001</v>
      </c>
      <c r="H7" s="11">
        <v>1859235.8499999999</v>
      </c>
      <c r="I7" s="11">
        <v>1682105.6</v>
      </c>
      <c r="J7" s="11">
        <v>11049765.85</v>
      </c>
      <c r="K7">
        <f t="shared" si="0"/>
        <v>1381220.73125</v>
      </c>
      <c r="M7" s="5" t="s">
        <v>90</v>
      </c>
      <c r="N7" s="12">
        <f t="shared" si="1"/>
        <v>0.34608162760299566</v>
      </c>
    </row>
    <row r="8" spans="1:14" x14ac:dyDescent="0.45">
      <c r="A8" s="10" t="s">
        <v>36</v>
      </c>
      <c r="B8" s="11">
        <v>1197625.2</v>
      </c>
      <c r="C8" s="11">
        <v>1568962.5500000005</v>
      </c>
      <c r="D8" s="11">
        <v>1214307.4000000001</v>
      </c>
      <c r="E8" s="11">
        <v>1303508.2</v>
      </c>
      <c r="F8" s="11">
        <v>1662050.9000000001</v>
      </c>
      <c r="G8" s="11">
        <v>1382040.25</v>
      </c>
      <c r="H8" s="11">
        <v>1815565.25</v>
      </c>
      <c r="I8" s="11">
        <v>794917.60000000009</v>
      </c>
      <c r="J8" s="11">
        <v>10938977.35</v>
      </c>
      <c r="K8">
        <f t="shared" si="0"/>
        <v>1367372.16875</v>
      </c>
      <c r="M8" s="5" t="s">
        <v>36</v>
      </c>
      <c r="N8" s="12">
        <f>H8/K8-1</f>
        <v>0.32777695165444332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22"/>
  <sheetViews>
    <sheetView topLeftCell="A184" workbookViewId="0">
      <selection activeCell="D191" sqref="A2:AD422"/>
    </sheetView>
  </sheetViews>
  <sheetFormatPr defaultRowHeight="14.25" x14ac:dyDescent="0.45"/>
  <cols>
    <col min="1" max="1" width="15.46484375" customWidth="1"/>
    <col min="2" max="2" width="13.1328125" customWidth="1"/>
    <col min="3" max="3" width="20.46484375" customWidth="1"/>
    <col min="4" max="4" width="16.46484375" customWidth="1"/>
    <col min="6" max="6" width="12.3984375" customWidth="1"/>
    <col min="7" max="7" width="12.86328125" customWidth="1"/>
    <col min="8" max="8" width="14.73046875" customWidth="1"/>
    <col min="10" max="10" width="9.796875" customWidth="1"/>
    <col min="11" max="11" width="9.73046875" customWidth="1"/>
    <col min="12" max="12" width="10.9296875" customWidth="1"/>
    <col min="13" max="13" width="12.06640625" customWidth="1"/>
    <col min="14" max="14" width="12.6640625" customWidth="1"/>
    <col min="15" max="15" width="15.265625" customWidth="1"/>
    <col min="16" max="17" width="10.59765625" customWidth="1"/>
    <col min="18" max="18" width="12.3984375" customWidth="1"/>
    <col min="19" max="20" width="15.796875" customWidth="1"/>
    <col min="21" max="21" width="17.73046875" customWidth="1"/>
    <col min="22" max="22" width="14.9296875" customWidth="1"/>
    <col min="23" max="24" width="16.53125" customWidth="1"/>
    <col min="28" max="28" width="19.1328125" customWidth="1"/>
  </cols>
  <sheetData>
    <row r="1" spans="1:30" x14ac:dyDescent="0.45">
      <c r="A1" s="1" t="s">
        <v>0</v>
      </c>
      <c r="B1" s="1" t="s">
        <v>1</v>
      </c>
      <c r="C1" s="1" t="s">
        <v>8</v>
      </c>
      <c r="D1" s="2" t="s">
        <v>2</v>
      </c>
      <c r="E1" s="1" t="s">
        <v>3</v>
      </c>
      <c r="F1" s="1" t="s">
        <v>4</v>
      </c>
      <c r="G1" s="1" t="s">
        <v>5</v>
      </c>
      <c r="H1" s="1" t="s">
        <v>6</v>
      </c>
      <c r="I1" s="1" t="s">
        <v>7</v>
      </c>
      <c r="J1" s="1" t="s">
        <v>994</v>
      </c>
      <c r="K1" s="1" t="s">
        <v>9</v>
      </c>
      <c r="L1" s="1" t="s">
        <v>10</v>
      </c>
      <c r="M1" s="1" t="s">
        <v>11</v>
      </c>
      <c r="N1" s="1" t="s">
        <v>12</v>
      </c>
      <c r="O1" s="1" t="s">
        <v>13</v>
      </c>
      <c r="P1" s="1" t="s">
        <v>14</v>
      </c>
      <c r="Q1" s="1" t="s">
        <v>15</v>
      </c>
      <c r="R1" s="1" t="s">
        <v>22</v>
      </c>
      <c r="S1" s="1" t="s">
        <v>965</v>
      </c>
      <c r="T1" s="1" t="s">
        <v>967</v>
      </c>
      <c r="U1" s="1" t="s">
        <v>968</v>
      </c>
      <c r="V1" s="1" t="s">
        <v>16</v>
      </c>
      <c r="W1" s="1" t="s">
        <v>17</v>
      </c>
      <c r="X1" s="1" t="s">
        <v>18</v>
      </c>
      <c r="Y1" s="1" t="s">
        <v>19</v>
      </c>
      <c r="Z1" s="1" t="s">
        <v>20</v>
      </c>
      <c r="AA1" s="1" t="s">
        <v>21</v>
      </c>
      <c r="AB1" s="1" t="s">
        <v>966</v>
      </c>
      <c r="AC1" s="1" t="s">
        <v>969</v>
      </c>
      <c r="AD1" s="1" t="s">
        <v>964</v>
      </c>
    </row>
    <row r="2" spans="1:30" x14ac:dyDescent="0.45">
      <c r="A2" t="s">
        <v>23</v>
      </c>
      <c r="B2" t="s">
        <v>24</v>
      </c>
      <c r="C2" t="str">
        <f>_xlfn.XLOOKUP(Sales_Data[[#This Row],[Product_ID]],Product_Master[Product_ID],Product_Master[Product],"Not Found")</f>
        <v>Soundproof Windows</v>
      </c>
      <c r="D2" s="3">
        <v>45951</v>
      </c>
      <c r="E2" t="s">
        <v>25</v>
      </c>
      <c r="F2" t="s">
        <v>26</v>
      </c>
      <c r="G2" t="s">
        <v>27</v>
      </c>
      <c r="H2" t="s">
        <v>28</v>
      </c>
      <c r="I2" t="s">
        <v>29</v>
      </c>
      <c r="J2" t="s">
        <v>30</v>
      </c>
      <c r="K2" t="s">
        <v>31</v>
      </c>
      <c r="L2">
        <v>2</v>
      </c>
      <c r="M2">
        <v>45381</v>
      </c>
      <c r="N2">
        <v>0.05</v>
      </c>
      <c r="O2">
        <v>90762</v>
      </c>
      <c r="P2">
        <v>4538.1000000000004</v>
      </c>
      <c r="Q2">
        <v>86223.9</v>
      </c>
      <c r="R2">
        <f>YEAR(Sales_Data[[#This Row],[Order_Date]])</f>
        <v>2025</v>
      </c>
      <c r="S2" t="str">
        <f>TEXT(Sales_Data[[#This Row],[Order_Date]],"mmmm")</f>
        <v>October</v>
      </c>
      <c r="T2">
        <f t="shared" ref="T2:T65" si="0">MONTH($D2)</f>
        <v>10</v>
      </c>
      <c r="U2" t="str">
        <f>"Q"&amp;ROUNDUP(MONTH(Sales_Data[[#This Row],[Order_Date]])/3,0)</f>
        <v>Q4</v>
      </c>
      <c r="V2" t="s">
        <v>32</v>
      </c>
      <c r="W2" t="s">
        <v>33</v>
      </c>
      <c r="X2" t="s">
        <v>34</v>
      </c>
      <c r="Y2">
        <v>2</v>
      </c>
      <c r="Z2">
        <v>20</v>
      </c>
      <c r="AA2">
        <v>3</v>
      </c>
      <c r="AB2" t="s">
        <v>35</v>
      </c>
      <c r="AC2" t="s">
        <v>36</v>
      </c>
      <c r="AD2">
        <v>2025</v>
      </c>
    </row>
    <row r="3" spans="1:30" x14ac:dyDescent="0.45">
      <c r="A3" t="s">
        <v>37</v>
      </c>
      <c r="B3" t="s">
        <v>38</v>
      </c>
      <c r="C3" t="str">
        <f>_xlfn.XLOOKUP(Sales_Data[[#This Row],[Product_ID]],Product_Master[Product_ID],Product_Master[Product],"Not Found")</f>
        <v>Bi-Fold Doors</v>
      </c>
      <c r="D3" s="3">
        <v>45832</v>
      </c>
      <c r="E3" t="s">
        <v>25</v>
      </c>
      <c r="F3" t="s">
        <v>39</v>
      </c>
      <c r="G3" t="s">
        <v>40</v>
      </c>
      <c r="H3" t="s">
        <v>28</v>
      </c>
      <c r="I3" t="s">
        <v>41</v>
      </c>
      <c r="J3" t="s">
        <v>42</v>
      </c>
      <c r="K3" t="s">
        <v>43</v>
      </c>
      <c r="L3">
        <v>6</v>
      </c>
      <c r="M3">
        <v>52245</v>
      </c>
      <c r="N3">
        <v>0.1</v>
      </c>
      <c r="O3">
        <v>313470</v>
      </c>
      <c r="P3">
        <v>31347</v>
      </c>
      <c r="Q3">
        <v>282123</v>
      </c>
      <c r="R3">
        <f>YEAR(Sales_Data[[#This Row],[Order_Date]])</f>
        <v>2025</v>
      </c>
      <c r="S3" t="str">
        <f>TEXT(Sales_Data[[#This Row],[Order_Date]],"mmmm")</f>
        <v>June</v>
      </c>
      <c r="T3">
        <f t="shared" si="0"/>
        <v>6</v>
      </c>
      <c r="U3" t="str">
        <f>"Q"&amp;ROUNDUP(MONTH(Sales_Data[[#This Row],[Order_Date]])/3,0)</f>
        <v>Q2</v>
      </c>
      <c r="V3" t="s">
        <v>44</v>
      </c>
      <c r="W3" t="s">
        <v>33</v>
      </c>
      <c r="X3" t="s">
        <v>45</v>
      </c>
      <c r="Y3">
        <v>4</v>
      </c>
      <c r="Z3">
        <v>29</v>
      </c>
      <c r="AA3">
        <v>5</v>
      </c>
      <c r="AB3" t="s">
        <v>46</v>
      </c>
      <c r="AC3" t="s">
        <v>47</v>
      </c>
      <c r="AD3">
        <v>2025</v>
      </c>
    </row>
    <row r="4" spans="1:30" x14ac:dyDescent="0.45">
      <c r="A4" t="s">
        <v>48</v>
      </c>
      <c r="B4" t="s">
        <v>49</v>
      </c>
      <c r="C4" t="str">
        <f>_xlfn.XLOOKUP(Sales_Data[[#This Row],[Product_ID]],Product_Master[Product_ID],Product_Master[Product],"Not Found")</f>
        <v>Aluminium Windows</v>
      </c>
      <c r="D4" s="3">
        <v>45711</v>
      </c>
      <c r="E4" t="s">
        <v>25</v>
      </c>
      <c r="F4" t="s">
        <v>26</v>
      </c>
      <c r="G4" t="s">
        <v>50</v>
      </c>
      <c r="H4" t="s">
        <v>51</v>
      </c>
      <c r="I4" t="s">
        <v>52</v>
      </c>
      <c r="J4" t="s">
        <v>53</v>
      </c>
      <c r="K4" t="s">
        <v>31</v>
      </c>
      <c r="L4">
        <v>2</v>
      </c>
      <c r="M4">
        <v>22922</v>
      </c>
      <c r="N4">
        <v>0</v>
      </c>
      <c r="O4">
        <v>45844</v>
      </c>
      <c r="P4">
        <v>0</v>
      </c>
      <c r="Q4">
        <v>45844</v>
      </c>
      <c r="R4">
        <f>YEAR(Sales_Data[[#This Row],[Order_Date]])</f>
        <v>2025</v>
      </c>
      <c r="S4" t="str">
        <f>TEXT(Sales_Data[[#This Row],[Order_Date]],"mmmm")</f>
        <v>February</v>
      </c>
      <c r="T4">
        <f t="shared" si="0"/>
        <v>2</v>
      </c>
      <c r="U4" t="str">
        <f>"Q"&amp;ROUNDUP(MONTH(Sales_Data[[#This Row],[Order_Date]])/3,0)</f>
        <v>Q1</v>
      </c>
      <c r="V4" t="s">
        <v>32</v>
      </c>
      <c r="W4" t="s">
        <v>54</v>
      </c>
      <c r="X4" t="s">
        <v>34</v>
      </c>
      <c r="Y4">
        <v>7</v>
      </c>
      <c r="Z4">
        <v>12</v>
      </c>
      <c r="AA4">
        <v>4</v>
      </c>
      <c r="AB4" t="s">
        <v>55</v>
      </c>
      <c r="AC4" t="s">
        <v>56</v>
      </c>
      <c r="AD4">
        <v>2025</v>
      </c>
    </row>
    <row r="5" spans="1:30" x14ac:dyDescent="0.45">
      <c r="A5" t="s">
        <v>57</v>
      </c>
      <c r="B5" t="s">
        <v>58</v>
      </c>
      <c r="C5" t="str">
        <f>_xlfn.XLOOKUP(Sales_Data[[#This Row],[Product_ID]],Product_Master[Product_ID],Product_Master[Product],"Not Found")</f>
        <v>uPVC Windows</v>
      </c>
      <c r="D5" s="3">
        <v>45985</v>
      </c>
      <c r="E5" t="s">
        <v>59</v>
      </c>
      <c r="F5" t="s">
        <v>60</v>
      </c>
      <c r="G5" t="s">
        <v>61</v>
      </c>
      <c r="H5" t="s">
        <v>28</v>
      </c>
      <c r="I5" t="s">
        <v>62</v>
      </c>
      <c r="J5" t="s">
        <v>63</v>
      </c>
      <c r="K5" t="s">
        <v>31</v>
      </c>
      <c r="L5">
        <v>4</v>
      </c>
      <c r="M5">
        <v>17689</v>
      </c>
      <c r="N5">
        <v>0</v>
      </c>
      <c r="O5">
        <v>70756</v>
      </c>
      <c r="P5">
        <v>0</v>
      </c>
      <c r="Q5">
        <v>70756</v>
      </c>
      <c r="R5">
        <f>YEAR(Sales_Data[[#This Row],[Order_Date]])</f>
        <v>2025</v>
      </c>
      <c r="S5" t="str">
        <f>TEXT(Sales_Data[[#This Row],[Order_Date]],"mmmm")</f>
        <v>November</v>
      </c>
      <c r="T5">
        <f t="shared" si="0"/>
        <v>11</v>
      </c>
      <c r="U5" t="str">
        <f>"Q"&amp;ROUNDUP(MONTH(Sales_Data[[#This Row],[Order_Date]])/3,0)</f>
        <v>Q4</v>
      </c>
      <c r="V5" t="s">
        <v>64</v>
      </c>
      <c r="W5" t="s">
        <v>65</v>
      </c>
      <c r="X5" t="s">
        <v>66</v>
      </c>
      <c r="Y5">
        <v>1</v>
      </c>
      <c r="Z5">
        <v>7</v>
      </c>
      <c r="AA5">
        <v>2</v>
      </c>
      <c r="AB5" t="s">
        <v>67</v>
      </c>
      <c r="AC5" t="s">
        <v>36</v>
      </c>
      <c r="AD5">
        <v>2025</v>
      </c>
    </row>
    <row r="6" spans="1:30" x14ac:dyDescent="0.45">
      <c r="A6" t="s">
        <v>68</v>
      </c>
      <c r="B6" t="s">
        <v>69</v>
      </c>
      <c r="C6" t="str">
        <f>_xlfn.XLOOKUP(Sales_Data[[#This Row],[Product_ID]],Product_Master[Product_ID],Product_Master[Product],"Not Found")</f>
        <v>Bi-Fold Doors</v>
      </c>
      <c r="D6" s="3">
        <v>45788</v>
      </c>
      <c r="E6" t="s">
        <v>25</v>
      </c>
      <c r="F6" t="s">
        <v>70</v>
      </c>
      <c r="G6" t="s">
        <v>40</v>
      </c>
      <c r="H6" t="s">
        <v>71</v>
      </c>
      <c r="I6" t="s">
        <v>41</v>
      </c>
      <c r="J6" t="s">
        <v>42</v>
      </c>
      <c r="K6" t="s">
        <v>43</v>
      </c>
      <c r="L6">
        <v>1</v>
      </c>
      <c r="M6">
        <v>59423</v>
      </c>
      <c r="N6">
        <v>0.05</v>
      </c>
      <c r="O6">
        <v>59423</v>
      </c>
      <c r="P6">
        <v>2971.15</v>
      </c>
      <c r="Q6">
        <v>56451.85</v>
      </c>
      <c r="R6">
        <f>YEAR(Sales_Data[[#This Row],[Order_Date]])</f>
        <v>2025</v>
      </c>
      <c r="S6" t="str">
        <f>TEXT(Sales_Data[[#This Row],[Order_Date]],"mmmm")</f>
        <v>May</v>
      </c>
      <c r="T6">
        <f t="shared" si="0"/>
        <v>5</v>
      </c>
      <c r="U6" t="str">
        <f>"Q"&amp;ROUNDUP(MONTH(Sales_Data[[#This Row],[Order_Date]])/3,0)</f>
        <v>Q2</v>
      </c>
      <c r="V6" t="s">
        <v>64</v>
      </c>
      <c r="W6" t="s">
        <v>33</v>
      </c>
      <c r="X6" t="s">
        <v>45</v>
      </c>
      <c r="Y6">
        <v>3</v>
      </c>
      <c r="Z6">
        <v>11</v>
      </c>
      <c r="AA6">
        <v>4</v>
      </c>
      <c r="AB6" t="s">
        <v>72</v>
      </c>
      <c r="AC6" t="s">
        <v>47</v>
      </c>
      <c r="AD6">
        <v>2025</v>
      </c>
    </row>
    <row r="7" spans="1:30" x14ac:dyDescent="0.45">
      <c r="A7" t="s">
        <v>73</v>
      </c>
      <c r="B7" t="s">
        <v>74</v>
      </c>
      <c r="C7" t="str">
        <f>_xlfn.XLOOKUP(Sales_Data[[#This Row],[Product_ID]],Product_Master[Product_ID],Product_Master[Product],"Not Found")</f>
        <v>Casement Windows</v>
      </c>
      <c r="D7" s="3">
        <v>45753</v>
      </c>
      <c r="E7" t="s">
        <v>59</v>
      </c>
      <c r="F7" t="s">
        <v>70</v>
      </c>
      <c r="G7" t="s">
        <v>40</v>
      </c>
      <c r="H7" t="s">
        <v>28</v>
      </c>
      <c r="I7" t="s">
        <v>75</v>
      </c>
      <c r="J7" t="s">
        <v>76</v>
      </c>
      <c r="K7" t="s">
        <v>31</v>
      </c>
      <c r="L7">
        <v>4</v>
      </c>
      <c r="M7">
        <v>29299</v>
      </c>
      <c r="N7">
        <v>0.05</v>
      </c>
      <c r="O7">
        <v>117196</v>
      </c>
      <c r="P7">
        <v>5859.8</v>
      </c>
      <c r="Q7">
        <v>111336.2</v>
      </c>
      <c r="R7">
        <f>YEAR(Sales_Data[[#This Row],[Order_Date]])</f>
        <v>2025</v>
      </c>
      <c r="S7" t="str">
        <f>TEXT(Sales_Data[[#This Row],[Order_Date]],"mmmm")</f>
        <v>April</v>
      </c>
      <c r="T7">
        <f t="shared" si="0"/>
        <v>4</v>
      </c>
      <c r="U7" t="str">
        <f>"Q"&amp;ROUNDUP(MONTH(Sales_Data[[#This Row],[Order_Date]])/3,0)</f>
        <v>Q2</v>
      </c>
      <c r="V7" t="s">
        <v>32</v>
      </c>
      <c r="W7" t="s">
        <v>33</v>
      </c>
      <c r="X7" t="s">
        <v>45</v>
      </c>
      <c r="Y7">
        <v>6</v>
      </c>
      <c r="Z7">
        <v>6</v>
      </c>
      <c r="AA7">
        <v>5</v>
      </c>
      <c r="AB7" t="s">
        <v>77</v>
      </c>
      <c r="AC7" t="s">
        <v>47</v>
      </c>
      <c r="AD7">
        <v>2025</v>
      </c>
    </row>
    <row r="8" spans="1:30" x14ac:dyDescent="0.45">
      <c r="A8" t="s">
        <v>78</v>
      </c>
      <c r="B8" t="s">
        <v>79</v>
      </c>
      <c r="C8" t="str">
        <f>_xlfn.XLOOKUP(Sales_Data[[#This Row],[Product_ID]],Product_Master[Product_ID],Product_Master[Product],"Not Found")</f>
        <v>Bi-Fold Doors</v>
      </c>
      <c r="D8" s="3">
        <v>45791</v>
      </c>
      <c r="E8" t="s">
        <v>25</v>
      </c>
      <c r="F8" t="s">
        <v>60</v>
      </c>
      <c r="G8" t="s">
        <v>40</v>
      </c>
      <c r="H8" t="s">
        <v>51</v>
      </c>
      <c r="I8" t="s">
        <v>41</v>
      </c>
      <c r="J8" t="s">
        <v>42</v>
      </c>
      <c r="K8" t="s">
        <v>43</v>
      </c>
      <c r="L8">
        <v>4</v>
      </c>
      <c r="M8">
        <v>60550</v>
      </c>
      <c r="N8">
        <v>0.05</v>
      </c>
      <c r="O8">
        <v>242200</v>
      </c>
      <c r="P8">
        <v>12110</v>
      </c>
      <c r="Q8">
        <v>230090</v>
      </c>
      <c r="R8">
        <f>YEAR(Sales_Data[[#This Row],[Order_Date]])</f>
        <v>2025</v>
      </c>
      <c r="S8" t="str">
        <f>TEXT(Sales_Data[[#This Row],[Order_Date]],"mmmm")</f>
        <v>May</v>
      </c>
      <c r="T8">
        <f t="shared" si="0"/>
        <v>5</v>
      </c>
      <c r="U8" t="str">
        <f>"Q"&amp;ROUNDUP(MONTH(Sales_Data[[#This Row],[Order_Date]])/3,0)</f>
        <v>Q2</v>
      </c>
      <c r="V8" t="s">
        <v>32</v>
      </c>
      <c r="W8" t="s">
        <v>33</v>
      </c>
      <c r="X8" t="s">
        <v>66</v>
      </c>
      <c r="Y8">
        <v>1</v>
      </c>
      <c r="Z8">
        <v>29</v>
      </c>
      <c r="AA8">
        <v>5</v>
      </c>
      <c r="AB8" t="s">
        <v>72</v>
      </c>
      <c r="AC8" t="s">
        <v>47</v>
      </c>
      <c r="AD8">
        <v>2025</v>
      </c>
    </row>
    <row r="9" spans="1:30" x14ac:dyDescent="0.45">
      <c r="A9" t="s">
        <v>80</v>
      </c>
      <c r="B9" t="s">
        <v>81</v>
      </c>
      <c r="C9" t="str">
        <f>_xlfn.XLOOKUP(Sales_Data[[#This Row],[Product_ID]],Product_Master[Product_ID],Product_Master[Product],"Not Found")</f>
        <v>French Doors</v>
      </c>
      <c r="D9" s="3">
        <v>45711</v>
      </c>
      <c r="E9" t="s">
        <v>25</v>
      </c>
      <c r="F9" t="s">
        <v>26</v>
      </c>
      <c r="G9" t="s">
        <v>82</v>
      </c>
      <c r="H9" t="s">
        <v>83</v>
      </c>
      <c r="I9" t="s">
        <v>84</v>
      </c>
      <c r="J9" t="s">
        <v>85</v>
      </c>
      <c r="K9" t="s">
        <v>43</v>
      </c>
      <c r="L9">
        <v>5</v>
      </c>
      <c r="M9">
        <v>41423</v>
      </c>
      <c r="N9">
        <v>0.1</v>
      </c>
      <c r="O9">
        <v>207115</v>
      </c>
      <c r="P9">
        <v>20711.5</v>
      </c>
      <c r="Q9">
        <v>186403.5</v>
      </c>
      <c r="R9">
        <f>YEAR(Sales_Data[[#This Row],[Order_Date]])</f>
        <v>2025</v>
      </c>
      <c r="S9" t="str">
        <f>TEXT(Sales_Data[[#This Row],[Order_Date]],"mmmm")</f>
        <v>February</v>
      </c>
      <c r="T9">
        <f t="shared" si="0"/>
        <v>2</v>
      </c>
      <c r="U9" t="str">
        <f>"Q"&amp;ROUNDUP(MONTH(Sales_Data[[#This Row],[Order_Date]])/3,0)</f>
        <v>Q1</v>
      </c>
      <c r="V9" t="s">
        <v>32</v>
      </c>
      <c r="W9" t="s">
        <v>33</v>
      </c>
      <c r="X9" t="s">
        <v>34</v>
      </c>
      <c r="Y9">
        <v>7</v>
      </c>
      <c r="Z9">
        <v>15</v>
      </c>
      <c r="AA9">
        <v>4</v>
      </c>
      <c r="AB9" t="s">
        <v>55</v>
      </c>
      <c r="AC9" t="s">
        <v>56</v>
      </c>
      <c r="AD9">
        <v>2025</v>
      </c>
    </row>
    <row r="10" spans="1:30" x14ac:dyDescent="0.45">
      <c r="A10" t="s">
        <v>86</v>
      </c>
      <c r="B10" t="s">
        <v>87</v>
      </c>
      <c r="C10" t="str">
        <f>_xlfn.XLOOKUP(Sales_Data[[#This Row],[Product_ID]],Product_Master[Product_ID],Product_Master[Product],"Not Found")</f>
        <v>uPVC Windows</v>
      </c>
      <c r="D10" s="3">
        <v>45912</v>
      </c>
      <c r="E10" t="s">
        <v>25</v>
      </c>
      <c r="F10" t="s">
        <v>60</v>
      </c>
      <c r="G10" t="s">
        <v>40</v>
      </c>
      <c r="H10" t="s">
        <v>88</v>
      </c>
      <c r="I10" t="s">
        <v>62</v>
      </c>
      <c r="J10" t="s">
        <v>63</v>
      </c>
      <c r="K10" t="s">
        <v>31</v>
      </c>
      <c r="L10">
        <v>6</v>
      </c>
      <c r="M10">
        <v>17855</v>
      </c>
      <c r="N10">
        <v>0.1</v>
      </c>
      <c r="O10">
        <v>107130</v>
      </c>
      <c r="P10">
        <v>10713</v>
      </c>
      <c r="Q10">
        <v>96417</v>
      </c>
      <c r="R10">
        <f>YEAR(Sales_Data[[#This Row],[Order_Date]])</f>
        <v>2025</v>
      </c>
      <c r="S10" t="str">
        <f>TEXT(Sales_Data[[#This Row],[Order_Date]],"mmmm")</f>
        <v>September</v>
      </c>
      <c r="T10">
        <f t="shared" si="0"/>
        <v>9</v>
      </c>
      <c r="U10" t="str">
        <f>"Q"&amp;ROUNDUP(MONTH(Sales_Data[[#This Row],[Order_Date]])/3,0)</f>
        <v>Q3</v>
      </c>
      <c r="V10" t="s">
        <v>32</v>
      </c>
      <c r="W10" t="s">
        <v>54</v>
      </c>
      <c r="X10" t="s">
        <v>45</v>
      </c>
      <c r="Y10">
        <v>6</v>
      </c>
      <c r="Z10">
        <v>20</v>
      </c>
      <c r="AA10">
        <v>2</v>
      </c>
      <c r="AB10" t="s">
        <v>89</v>
      </c>
      <c r="AC10" t="s">
        <v>90</v>
      </c>
      <c r="AD10">
        <v>2025</v>
      </c>
    </row>
    <row r="11" spans="1:30" x14ac:dyDescent="0.45">
      <c r="A11" t="s">
        <v>91</v>
      </c>
      <c r="B11" t="s">
        <v>92</v>
      </c>
      <c r="C11" t="str">
        <f>_xlfn.XLOOKUP(Sales_Data[[#This Row],[Product_ID]],Product_Master[Product_ID],Product_Master[Product],"Not Found")</f>
        <v>French Doors</v>
      </c>
      <c r="D11" s="3">
        <v>45808</v>
      </c>
      <c r="E11" t="s">
        <v>25</v>
      </c>
      <c r="F11" t="s">
        <v>26</v>
      </c>
      <c r="G11" t="s">
        <v>61</v>
      </c>
      <c r="H11" t="s">
        <v>71</v>
      </c>
      <c r="I11" t="s">
        <v>84</v>
      </c>
      <c r="J11" t="s">
        <v>85</v>
      </c>
      <c r="K11" t="s">
        <v>43</v>
      </c>
      <c r="L11">
        <v>6</v>
      </c>
      <c r="M11">
        <v>45105</v>
      </c>
      <c r="N11">
        <v>0.05</v>
      </c>
      <c r="O11">
        <v>270630</v>
      </c>
      <c r="P11">
        <v>13531.5</v>
      </c>
      <c r="Q11">
        <v>257098.5</v>
      </c>
      <c r="R11">
        <f>YEAR(Sales_Data[[#This Row],[Order_Date]])</f>
        <v>2025</v>
      </c>
      <c r="S11" t="str">
        <f>TEXT(Sales_Data[[#This Row],[Order_Date]],"mmmm")</f>
        <v>May</v>
      </c>
      <c r="T11">
        <f t="shared" si="0"/>
        <v>5</v>
      </c>
      <c r="U11" t="str">
        <f>"Q"&amp;ROUNDUP(MONTH(Sales_Data[[#This Row],[Order_Date]])/3,0)</f>
        <v>Q2</v>
      </c>
      <c r="V11" t="s">
        <v>44</v>
      </c>
      <c r="W11" t="s">
        <v>33</v>
      </c>
      <c r="X11" t="s">
        <v>93</v>
      </c>
      <c r="Y11">
        <v>6</v>
      </c>
      <c r="Z11">
        <v>16</v>
      </c>
      <c r="AA11">
        <v>4</v>
      </c>
      <c r="AB11" t="s">
        <v>72</v>
      </c>
      <c r="AC11" t="s">
        <v>47</v>
      </c>
      <c r="AD11">
        <v>2025</v>
      </c>
    </row>
    <row r="12" spans="1:30" x14ac:dyDescent="0.45">
      <c r="A12" t="s">
        <v>94</v>
      </c>
      <c r="B12" t="s">
        <v>95</v>
      </c>
      <c r="C12" t="str">
        <f>_xlfn.XLOOKUP(Sales_Data[[#This Row],[Product_ID]],Product_Master[Product_ID],Product_Master[Product],"Not Found")</f>
        <v>Bi-Fold Doors</v>
      </c>
      <c r="D12" s="3">
        <v>45934</v>
      </c>
      <c r="E12" t="s">
        <v>59</v>
      </c>
      <c r="F12" t="s">
        <v>39</v>
      </c>
      <c r="G12" t="s">
        <v>61</v>
      </c>
      <c r="H12" t="s">
        <v>71</v>
      </c>
      <c r="I12" t="s">
        <v>41</v>
      </c>
      <c r="J12" t="s">
        <v>42</v>
      </c>
      <c r="K12" t="s">
        <v>43</v>
      </c>
      <c r="L12">
        <v>4</v>
      </c>
      <c r="M12">
        <v>54538</v>
      </c>
      <c r="N12">
        <v>0.15</v>
      </c>
      <c r="O12">
        <v>218152</v>
      </c>
      <c r="P12">
        <v>32722.799999999999</v>
      </c>
      <c r="Q12">
        <v>185429.2</v>
      </c>
      <c r="R12">
        <f>YEAR(Sales_Data[[#This Row],[Order_Date]])</f>
        <v>2025</v>
      </c>
      <c r="S12" t="str">
        <f>TEXT(Sales_Data[[#This Row],[Order_Date]],"mmmm")</f>
        <v>October</v>
      </c>
      <c r="T12">
        <f t="shared" si="0"/>
        <v>10</v>
      </c>
      <c r="U12" t="str">
        <f>"Q"&amp;ROUNDUP(MONTH(Sales_Data[[#This Row],[Order_Date]])/3,0)</f>
        <v>Q4</v>
      </c>
      <c r="V12" t="s">
        <v>44</v>
      </c>
      <c r="W12" t="s">
        <v>33</v>
      </c>
      <c r="X12" t="s">
        <v>34</v>
      </c>
      <c r="Y12">
        <v>6</v>
      </c>
      <c r="Z12">
        <v>18</v>
      </c>
      <c r="AA12">
        <v>4</v>
      </c>
      <c r="AB12" t="s">
        <v>35</v>
      </c>
      <c r="AC12" t="s">
        <v>36</v>
      </c>
      <c r="AD12">
        <v>2025</v>
      </c>
    </row>
    <row r="13" spans="1:30" x14ac:dyDescent="0.45">
      <c r="A13" t="s">
        <v>96</v>
      </c>
      <c r="B13" t="s">
        <v>97</v>
      </c>
      <c r="C13" t="str">
        <f>_xlfn.XLOOKUP(Sales_Data[[#This Row],[Product_ID]],Product_Master[Product_ID],Product_Master[Product],"Not Found")</f>
        <v>Soundproof Windows</v>
      </c>
      <c r="D13" s="3">
        <v>45831</v>
      </c>
      <c r="E13" t="s">
        <v>25</v>
      </c>
      <c r="F13" t="s">
        <v>70</v>
      </c>
      <c r="G13" t="s">
        <v>40</v>
      </c>
      <c r="H13" t="s">
        <v>51</v>
      </c>
      <c r="I13" t="s">
        <v>29</v>
      </c>
      <c r="J13" t="s">
        <v>30</v>
      </c>
      <c r="K13" t="s">
        <v>31</v>
      </c>
      <c r="L13">
        <v>2</v>
      </c>
      <c r="M13">
        <v>50580</v>
      </c>
      <c r="N13">
        <v>0.2</v>
      </c>
      <c r="O13">
        <v>101160</v>
      </c>
      <c r="P13">
        <v>20232</v>
      </c>
      <c r="Q13">
        <v>80928</v>
      </c>
      <c r="R13">
        <f>YEAR(Sales_Data[[#This Row],[Order_Date]])</f>
        <v>2025</v>
      </c>
      <c r="S13" t="str">
        <f>TEXT(Sales_Data[[#This Row],[Order_Date]],"mmmm")</f>
        <v>June</v>
      </c>
      <c r="T13">
        <f t="shared" si="0"/>
        <v>6</v>
      </c>
      <c r="U13" t="str">
        <f>"Q"&amp;ROUNDUP(MONTH(Sales_Data[[#This Row],[Order_Date]])/3,0)</f>
        <v>Q2</v>
      </c>
      <c r="V13" t="s">
        <v>98</v>
      </c>
      <c r="W13" t="s">
        <v>65</v>
      </c>
      <c r="X13" t="s">
        <v>34</v>
      </c>
      <c r="Y13">
        <v>3</v>
      </c>
      <c r="Z13">
        <v>26</v>
      </c>
      <c r="AA13">
        <v>4</v>
      </c>
      <c r="AB13" t="s">
        <v>46</v>
      </c>
      <c r="AC13" t="s">
        <v>47</v>
      </c>
      <c r="AD13">
        <v>2025</v>
      </c>
    </row>
    <row r="14" spans="1:30" x14ac:dyDescent="0.45">
      <c r="A14" t="s">
        <v>99</v>
      </c>
      <c r="B14" t="s">
        <v>100</v>
      </c>
      <c r="C14" t="str">
        <f>_xlfn.XLOOKUP(Sales_Data[[#This Row],[Product_ID]],Product_Master[Product_ID],Product_Master[Product],"Not Found")</f>
        <v>Sliding Doors</v>
      </c>
      <c r="D14" s="3">
        <v>45800</v>
      </c>
      <c r="E14" t="s">
        <v>59</v>
      </c>
      <c r="F14" t="s">
        <v>60</v>
      </c>
      <c r="G14" t="s">
        <v>40</v>
      </c>
      <c r="H14" t="s">
        <v>71</v>
      </c>
      <c r="I14" t="s">
        <v>101</v>
      </c>
      <c r="J14" t="s">
        <v>102</v>
      </c>
      <c r="K14" t="s">
        <v>43</v>
      </c>
      <c r="L14">
        <v>4</v>
      </c>
      <c r="M14">
        <v>36565</v>
      </c>
      <c r="N14">
        <v>0.05</v>
      </c>
      <c r="O14">
        <v>146260</v>
      </c>
      <c r="P14">
        <v>7313</v>
      </c>
      <c r="Q14">
        <v>138947</v>
      </c>
      <c r="R14">
        <f>YEAR(Sales_Data[[#This Row],[Order_Date]])</f>
        <v>2025</v>
      </c>
      <c r="S14" t="str">
        <f>TEXT(Sales_Data[[#This Row],[Order_Date]],"mmmm")</f>
        <v>May</v>
      </c>
      <c r="T14">
        <f t="shared" si="0"/>
        <v>5</v>
      </c>
      <c r="U14" t="str">
        <f>"Q"&amp;ROUNDUP(MONTH(Sales_Data[[#This Row],[Order_Date]])/3,0)</f>
        <v>Q2</v>
      </c>
      <c r="V14" t="s">
        <v>32</v>
      </c>
      <c r="W14" t="s">
        <v>54</v>
      </c>
      <c r="X14" t="s">
        <v>66</v>
      </c>
      <c r="Y14">
        <v>2</v>
      </c>
      <c r="Z14">
        <v>26</v>
      </c>
      <c r="AA14">
        <v>3</v>
      </c>
      <c r="AB14" t="s">
        <v>72</v>
      </c>
      <c r="AC14" t="s">
        <v>47</v>
      </c>
      <c r="AD14">
        <v>2025</v>
      </c>
    </row>
    <row r="15" spans="1:30" x14ac:dyDescent="0.45">
      <c r="A15" t="s">
        <v>103</v>
      </c>
      <c r="B15" t="s">
        <v>104</v>
      </c>
      <c r="C15" t="str">
        <f>_xlfn.XLOOKUP(Sales_Data[[#This Row],[Product_ID]],Product_Master[Product_ID],Product_Master[Product],"Not Found")</f>
        <v>Soundproof Windows</v>
      </c>
      <c r="D15" s="3">
        <v>45965</v>
      </c>
      <c r="E15" t="s">
        <v>59</v>
      </c>
      <c r="F15" t="s">
        <v>39</v>
      </c>
      <c r="G15" t="s">
        <v>61</v>
      </c>
      <c r="H15" t="s">
        <v>88</v>
      </c>
      <c r="I15" t="s">
        <v>29</v>
      </c>
      <c r="J15" t="s">
        <v>30</v>
      </c>
      <c r="K15" t="s">
        <v>31</v>
      </c>
      <c r="L15">
        <v>5</v>
      </c>
      <c r="M15">
        <v>54834</v>
      </c>
      <c r="N15">
        <v>0.1</v>
      </c>
      <c r="O15">
        <v>274170</v>
      </c>
      <c r="P15">
        <v>27417</v>
      </c>
      <c r="Q15">
        <v>246753</v>
      </c>
      <c r="R15">
        <f>YEAR(Sales_Data[[#This Row],[Order_Date]])</f>
        <v>2025</v>
      </c>
      <c r="S15" t="str">
        <f>TEXT(Sales_Data[[#This Row],[Order_Date]],"mmmm")</f>
        <v>November</v>
      </c>
      <c r="T15">
        <f t="shared" si="0"/>
        <v>11</v>
      </c>
      <c r="U15" t="str">
        <f>"Q"&amp;ROUNDUP(MONTH(Sales_Data[[#This Row],[Order_Date]])/3,0)</f>
        <v>Q4</v>
      </c>
      <c r="V15" t="s">
        <v>32</v>
      </c>
      <c r="W15" t="s">
        <v>65</v>
      </c>
      <c r="X15" t="s">
        <v>45</v>
      </c>
      <c r="Y15">
        <v>2</v>
      </c>
      <c r="Z15">
        <v>25</v>
      </c>
      <c r="AA15">
        <v>2</v>
      </c>
      <c r="AB15" t="s">
        <v>67</v>
      </c>
      <c r="AC15" t="s">
        <v>36</v>
      </c>
      <c r="AD15">
        <v>2025</v>
      </c>
    </row>
    <row r="16" spans="1:30" x14ac:dyDescent="0.45">
      <c r="A16" t="s">
        <v>105</v>
      </c>
      <c r="B16" t="s">
        <v>106</v>
      </c>
      <c r="C16" t="str">
        <f>_xlfn.XLOOKUP(Sales_Data[[#This Row],[Product_ID]],Product_Master[Product_ID],Product_Master[Product],"Not Found")</f>
        <v>uPVC Doors</v>
      </c>
      <c r="D16" s="3">
        <v>45786</v>
      </c>
      <c r="E16" t="s">
        <v>25</v>
      </c>
      <c r="F16" t="s">
        <v>60</v>
      </c>
      <c r="G16" t="s">
        <v>27</v>
      </c>
      <c r="H16" t="s">
        <v>71</v>
      </c>
      <c r="I16" t="s">
        <v>107</v>
      </c>
      <c r="J16" t="s">
        <v>108</v>
      </c>
      <c r="K16" t="s">
        <v>43</v>
      </c>
      <c r="L16">
        <v>2</v>
      </c>
      <c r="M16">
        <v>33864</v>
      </c>
      <c r="N16">
        <v>0.05</v>
      </c>
      <c r="O16">
        <v>67728</v>
      </c>
      <c r="P16">
        <v>3386.4</v>
      </c>
      <c r="Q16">
        <v>64341.599999999999</v>
      </c>
      <c r="R16">
        <f>YEAR(Sales_Data[[#This Row],[Order_Date]])</f>
        <v>2025</v>
      </c>
      <c r="S16" t="str">
        <f>TEXT(Sales_Data[[#This Row],[Order_Date]],"mmmm")</f>
        <v>May</v>
      </c>
      <c r="T16">
        <f t="shared" si="0"/>
        <v>5</v>
      </c>
      <c r="U16" t="str">
        <f>"Q"&amp;ROUNDUP(MONTH(Sales_Data[[#This Row],[Order_Date]])/3,0)</f>
        <v>Q2</v>
      </c>
      <c r="V16" t="s">
        <v>64</v>
      </c>
      <c r="W16" t="s">
        <v>33</v>
      </c>
      <c r="X16" t="s">
        <v>93</v>
      </c>
      <c r="Y16">
        <v>7</v>
      </c>
      <c r="Z16">
        <v>9</v>
      </c>
      <c r="AA16">
        <v>5</v>
      </c>
      <c r="AB16" t="s">
        <v>72</v>
      </c>
      <c r="AC16" t="s">
        <v>47</v>
      </c>
      <c r="AD16">
        <v>2025</v>
      </c>
    </row>
    <row r="17" spans="1:30" x14ac:dyDescent="0.45">
      <c r="A17" t="s">
        <v>109</v>
      </c>
      <c r="B17" t="s">
        <v>110</v>
      </c>
      <c r="C17" t="str">
        <f>_xlfn.XLOOKUP(Sales_Data[[#This Row],[Product_ID]],Product_Master[Product_ID],Product_Master[Product],"Not Found")</f>
        <v>Aluminium Windows</v>
      </c>
      <c r="D17" s="3">
        <v>45998</v>
      </c>
      <c r="E17" t="s">
        <v>59</v>
      </c>
      <c r="F17" t="s">
        <v>26</v>
      </c>
      <c r="G17" t="s">
        <v>111</v>
      </c>
      <c r="H17" t="s">
        <v>112</v>
      </c>
      <c r="I17" t="s">
        <v>52</v>
      </c>
      <c r="J17" t="s">
        <v>53</v>
      </c>
      <c r="K17" t="s">
        <v>31</v>
      </c>
      <c r="L17">
        <v>4</v>
      </c>
      <c r="M17">
        <v>20752</v>
      </c>
      <c r="N17">
        <v>0.05</v>
      </c>
      <c r="O17">
        <v>83008</v>
      </c>
      <c r="P17">
        <v>4150.3999999999996</v>
      </c>
      <c r="Q17">
        <v>78857.600000000006</v>
      </c>
      <c r="R17">
        <f>YEAR(Sales_Data[[#This Row],[Order_Date]])</f>
        <v>2025</v>
      </c>
      <c r="S17" t="str">
        <f>TEXT(Sales_Data[[#This Row],[Order_Date]],"mmmm")</f>
        <v>December</v>
      </c>
      <c r="T17">
        <f t="shared" si="0"/>
        <v>12</v>
      </c>
      <c r="U17" t="str">
        <f>"Q"&amp;ROUNDUP(MONTH(Sales_Data[[#This Row],[Order_Date]])/3,0)</f>
        <v>Q4</v>
      </c>
      <c r="V17" t="s">
        <v>44</v>
      </c>
      <c r="W17" t="s">
        <v>33</v>
      </c>
      <c r="X17" t="s">
        <v>45</v>
      </c>
      <c r="Y17">
        <v>2</v>
      </c>
      <c r="Z17">
        <v>23</v>
      </c>
      <c r="AA17">
        <v>4</v>
      </c>
      <c r="AB17" t="s">
        <v>113</v>
      </c>
      <c r="AC17" t="s">
        <v>36</v>
      </c>
      <c r="AD17">
        <v>2025</v>
      </c>
    </row>
    <row r="18" spans="1:30" x14ac:dyDescent="0.45">
      <c r="A18" t="s">
        <v>114</v>
      </c>
      <c r="B18" t="s">
        <v>115</v>
      </c>
      <c r="C18" t="str">
        <f>_xlfn.XLOOKUP(Sales_Data[[#This Row],[Product_ID]],Product_Master[Product_ID],Product_Master[Product],"Not Found")</f>
        <v>uPVC Windows</v>
      </c>
      <c r="D18" s="3">
        <v>45982</v>
      </c>
      <c r="E18" t="s">
        <v>59</v>
      </c>
      <c r="F18" t="s">
        <v>26</v>
      </c>
      <c r="G18" t="s">
        <v>116</v>
      </c>
      <c r="H18" t="s">
        <v>83</v>
      </c>
      <c r="I18" t="s">
        <v>62</v>
      </c>
      <c r="J18" t="s">
        <v>63</v>
      </c>
      <c r="K18" t="s">
        <v>31</v>
      </c>
      <c r="L18">
        <v>5</v>
      </c>
      <c r="M18">
        <v>16933</v>
      </c>
      <c r="N18">
        <v>0</v>
      </c>
      <c r="O18">
        <v>84665</v>
      </c>
      <c r="P18">
        <v>0</v>
      </c>
      <c r="Q18">
        <v>84665</v>
      </c>
      <c r="R18">
        <f>YEAR(Sales_Data[[#This Row],[Order_Date]])</f>
        <v>2025</v>
      </c>
      <c r="S18" t="str">
        <f>TEXT(Sales_Data[[#This Row],[Order_Date]],"mmmm")</f>
        <v>November</v>
      </c>
      <c r="T18">
        <f t="shared" si="0"/>
        <v>11</v>
      </c>
      <c r="U18" t="str">
        <f>"Q"&amp;ROUNDUP(MONTH(Sales_Data[[#This Row],[Order_Date]])/3,0)</f>
        <v>Q4</v>
      </c>
      <c r="V18" t="s">
        <v>44</v>
      </c>
      <c r="W18" t="s">
        <v>54</v>
      </c>
      <c r="X18" t="s">
        <v>34</v>
      </c>
      <c r="Y18">
        <v>2</v>
      </c>
      <c r="Z18">
        <v>7</v>
      </c>
      <c r="AA18">
        <v>5</v>
      </c>
      <c r="AB18" t="s">
        <v>67</v>
      </c>
      <c r="AC18" t="s">
        <v>36</v>
      </c>
      <c r="AD18">
        <v>2025</v>
      </c>
    </row>
    <row r="19" spans="1:30" x14ac:dyDescent="0.45">
      <c r="A19" t="s">
        <v>117</v>
      </c>
      <c r="B19" t="s">
        <v>118</v>
      </c>
      <c r="C19" t="str">
        <f>_xlfn.XLOOKUP(Sales_Data[[#This Row],[Product_ID]],Product_Master[Product_ID],Product_Master[Product],"Not Found")</f>
        <v>uPVC Doors</v>
      </c>
      <c r="D19" s="3">
        <v>45994</v>
      </c>
      <c r="E19" t="s">
        <v>25</v>
      </c>
      <c r="F19" t="s">
        <v>60</v>
      </c>
      <c r="G19" t="s">
        <v>111</v>
      </c>
      <c r="H19" t="s">
        <v>119</v>
      </c>
      <c r="I19" t="s">
        <v>107</v>
      </c>
      <c r="J19" t="s">
        <v>108</v>
      </c>
      <c r="K19" t="s">
        <v>43</v>
      </c>
      <c r="L19">
        <v>2</v>
      </c>
      <c r="M19">
        <v>29392</v>
      </c>
      <c r="N19">
        <v>0.15</v>
      </c>
      <c r="O19">
        <v>58784</v>
      </c>
      <c r="P19">
        <v>8817.6</v>
      </c>
      <c r="Q19">
        <v>49966.400000000001</v>
      </c>
      <c r="R19">
        <f>YEAR(Sales_Data[[#This Row],[Order_Date]])</f>
        <v>2025</v>
      </c>
      <c r="S19" t="str">
        <f>TEXT(Sales_Data[[#This Row],[Order_Date]],"mmmm")</f>
        <v>December</v>
      </c>
      <c r="T19">
        <f t="shared" si="0"/>
        <v>12</v>
      </c>
      <c r="U19" t="str">
        <f>"Q"&amp;ROUNDUP(MONTH(Sales_Data[[#This Row],[Order_Date]])/3,0)</f>
        <v>Q4</v>
      </c>
      <c r="V19" t="s">
        <v>32</v>
      </c>
      <c r="W19" t="s">
        <v>33</v>
      </c>
      <c r="X19" t="s">
        <v>34</v>
      </c>
      <c r="Y19">
        <v>5</v>
      </c>
      <c r="Z19">
        <v>15</v>
      </c>
      <c r="AA19">
        <v>5</v>
      </c>
      <c r="AB19" t="s">
        <v>113</v>
      </c>
      <c r="AC19" t="s">
        <v>36</v>
      </c>
      <c r="AD19">
        <v>2025</v>
      </c>
    </row>
    <row r="20" spans="1:30" x14ac:dyDescent="0.45">
      <c r="A20" t="s">
        <v>120</v>
      </c>
      <c r="B20" t="s">
        <v>121</v>
      </c>
      <c r="C20" t="str">
        <f>_xlfn.XLOOKUP(Sales_Data[[#This Row],[Product_ID]],Product_Master[Product_ID],Product_Master[Product],"Not Found")</f>
        <v>French Doors</v>
      </c>
      <c r="D20" s="3">
        <v>45874</v>
      </c>
      <c r="E20" t="s">
        <v>59</v>
      </c>
      <c r="F20" t="s">
        <v>39</v>
      </c>
      <c r="G20" t="s">
        <v>61</v>
      </c>
      <c r="H20" t="s">
        <v>119</v>
      </c>
      <c r="I20" t="s">
        <v>84</v>
      </c>
      <c r="J20" t="s">
        <v>85</v>
      </c>
      <c r="K20" t="s">
        <v>43</v>
      </c>
      <c r="L20">
        <v>5</v>
      </c>
      <c r="M20">
        <v>47959</v>
      </c>
      <c r="N20">
        <v>0.1</v>
      </c>
      <c r="O20">
        <v>239795</v>
      </c>
      <c r="P20">
        <v>23979.5</v>
      </c>
      <c r="Q20">
        <v>215815.5</v>
      </c>
      <c r="R20">
        <f>YEAR(Sales_Data[[#This Row],[Order_Date]])</f>
        <v>2025</v>
      </c>
      <c r="S20" t="str">
        <f>TEXT(Sales_Data[[#This Row],[Order_Date]],"mmmm")</f>
        <v>August</v>
      </c>
      <c r="T20">
        <f t="shared" si="0"/>
        <v>8</v>
      </c>
      <c r="U20" t="str">
        <f>"Q"&amp;ROUNDUP(MONTH(Sales_Data[[#This Row],[Order_Date]])/3,0)</f>
        <v>Q3</v>
      </c>
      <c r="V20" t="s">
        <v>122</v>
      </c>
      <c r="W20" t="s">
        <v>33</v>
      </c>
      <c r="X20" t="s">
        <v>45</v>
      </c>
      <c r="Y20">
        <v>7</v>
      </c>
      <c r="Z20">
        <v>28</v>
      </c>
      <c r="AA20">
        <v>5</v>
      </c>
      <c r="AB20" t="s">
        <v>123</v>
      </c>
      <c r="AC20" t="s">
        <v>90</v>
      </c>
      <c r="AD20">
        <v>2025</v>
      </c>
    </row>
    <row r="21" spans="1:30" x14ac:dyDescent="0.45">
      <c r="A21" t="s">
        <v>124</v>
      </c>
      <c r="B21" t="s">
        <v>125</v>
      </c>
      <c r="C21" t="str">
        <f>_xlfn.XLOOKUP(Sales_Data[[#This Row],[Product_ID]],Product_Master[Product_ID],Product_Master[Product],"Not Found")</f>
        <v>uPVC Windows</v>
      </c>
      <c r="D21" s="3">
        <v>45757</v>
      </c>
      <c r="E21" t="s">
        <v>59</v>
      </c>
      <c r="F21" t="s">
        <v>70</v>
      </c>
      <c r="G21" t="s">
        <v>50</v>
      </c>
      <c r="H21" t="s">
        <v>112</v>
      </c>
      <c r="I21" t="s">
        <v>62</v>
      </c>
      <c r="J21" t="s">
        <v>63</v>
      </c>
      <c r="K21" t="s">
        <v>31</v>
      </c>
      <c r="L21">
        <v>4</v>
      </c>
      <c r="M21">
        <v>20513</v>
      </c>
      <c r="N21">
        <v>0.15</v>
      </c>
      <c r="O21">
        <v>82052</v>
      </c>
      <c r="P21">
        <v>12307.8</v>
      </c>
      <c r="Q21">
        <v>69744.2</v>
      </c>
      <c r="R21">
        <f>YEAR(Sales_Data[[#This Row],[Order_Date]])</f>
        <v>2025</v>
      </c>
      <c r="S21" t="str">
        <f>TEXT(Sales_Data[[#This Row],[Order_Date]],"mmmm")</f>
        <v>April</v>
      </c>
      <c r="T21">
        <f t="shared" si="0"/>
        <v>4</v>
      </c>
      <c r="U21" t="str">
        <f>"Q"&amp;ROUNDUP(MONTH(Sales_Data[[#This Row],[Order_Date]])/3,0)</f>
        <v>Q2</v>
      </c>
      <c r="V21" t="s">
        <v>64</v>
      </c>
      <c r="W21" t="s">
        <v>33</v>
      </c>
      <c r="X21" t="s">
        <v>45</v>
      </c>
      <c r="Y21">
        <v>5</v>
      </c>
      <c r="Z21">
        <v>9</v>
      </c>
      <c r="AA21">
        <v>4</v>
      </c>
      <c r="AB21" t="s">
        <v>77</v>
      </c>
      <c r="AC21" t="s">
        <v>47</v>
      </c>
      <c r="AD21">
        <v>2025</v>
      </c>
    </row>
    <row r="22" spans="1:30" x14ac:dyDescent="0.45">
      <c r="A22" t="s">
        <v>126</v>
      </c>
      <c r="B22" t="s">
        <v>127</v>
      </c>
      <c r="C22" t="str">
        <f>_xlfn.XLOOKUP(Sales_Data[[#This Row],[Product_ID]],Product_Master[Product_ID],Product_Master[Product],"Not Found")</f>
        <v>uPVC Windows</v>
      </c>
      <c r="D22" s="3">
        <v>45710</v>
      </c>
      <c r="E22" t="s">
        <v>25</v>
      </c>
      <c r="F22" t="s">
        <v>70</v>
      </c>
      <c r="G22" t="s">
        <v>27</v>
      </c>
      <c r="H22" t="s">
        <v>88</v>
      </c>
      <c r="I22" t="s">
        <v>62</v>
      </c>
      <c r="J22" t="s">
        <v>63</v>
      </c>
      <c r="K22" t="s">
        <v>31</v>
      </c>
      <c r="L22">
        <v>1</v>
      </c>
      <c r="M22">
        <v>16710</v>
      </c>
      <c r="N22">
        <v>0.2</v>
      </c>
      <c r="O22">
        <v>16710</v>
      </c>
      <c r="P22">
        <v>3342</v>
      </c>
      <c r="Q22">
        <v>13368</v>
      </c>
      <c r="R22">
        <f>YEAR(Sales_Data[[#This Row],[Order_Date]])</f>
        <v>2025</v>
      </c>
      <c r="S22" t="str">
        <f>TEXT(Sales_Data[[#This Row],[Order_Date]],"mmmm")</f>
        <v>February</v>
      </c>
      <c r="T22">
        <f t="shared" si="0"/>
        <v>2</v>
      </c>
      <c r="U22" t="str">
        <f>"Q"&amp;ROUNDUP(MONTH(Sales_Data[[#This Row],[Order_Date]])/3,0)</f>
        <v>Q1</v>
      </c>
      <c r="V22" t="s">
        <v>32</v>
      </c>
      <c r="W22" t="s">
        <v>65</v>
      </c>
      <c r="X22" t="s">
        <v>45</v>
      </c>
      <c r="Y22">
        <v>3</v>
      </c>
      <c r="Z22">
        <v>22</v>
      </c>
      <c r="AA22">
        <v>5</v>
      </c>
      <c r="AB22" t="s">
        <v>55</v>
      </c>
      <c r="AC22" t="s">
        <v>56</v>
      </c>
      <c r="AD22">
        <v>2025</v>
      </c>
    </row>
    <row r="23" spans="1:30" x14ac:dyDescent="0.45">
      <c r="A23" t="s">
        <v>128</v>
      </c>
      <c r="B23" t="s">
        <v>129</v>
      </c>
      <c r="C23" t="str">
        <f>_xlfn.XLOOKUP(Sales_Data[[#This Row],[Product_ID]],Product_Master[Product_ID],Product_Master[Product],"Not Found")</f>
        <v>uPVC Windows</v>
      </c>
      <c r="D23" s="3">
        <v>45731</v>
      </c>
      <c r="E23" t="s">
        <v>59</v>
      </c>
      <c r="F23" t="s">
        <v>60</v>
      </c>
      <c r="G23" t="s">
        <v>82</v>
      </c>
      <c r="H23" t="s">
        <v>51</v>
      </c>
      <c r="I23" t="s">
        <v>62</v>
      </c>
      <c r="J23" t="s">
        <v>63</v>
      </c>
      <c r="K23" t="s">
        <v>31</v>
      </c>
      <c r="L23">
        <v>2</v>
      </c>
      <c r="M23">
        <v>18981</v>
      </c>
      <c r="N23">
        <v>0</v>
      </c>
      <c r="O23">
        <v>37962</v>
      </c>
      <c r="P23">
        <v>0</v>
      </c>
      <c r="Q23">
        <v>37962</v>
      </c>
      <c r="R23">
        <f>YEAR(Sales_Data[[#This Row],[Order_Date]])</f>
        <v>2025</v>
      </c>
      <c r="S23" t="str">
        <f>TEXT(Sales_Data[[#This Row],[Order_Date]],"mmmm")</f>
        <v>March</v>
      </c>
      <c r="T23">
        <f t="shared" si="0"/>
        <v>3</v>
      </c>
      <c r="U23" t="str">
        <f>"Q"&amp;ROUNDUP(MONTH(Sales_Data[[#This Row],[Order_Date]])/3,0)</f>
        <v>Q1</v>
      </c>
      <c r="V23" t="s">
        <v>32</v>
      </c>
      <c r="W23" t="s">
        <v>54</v>
      </c>
      <c r="X23" t="s">
        <v>45</v>
      </c>
      <c r="Y23">
        <v>5</v>
      </c>
      <c r="Z23">
        <v>9</v>
      </c>
      <c r="AA23">
        <v>3</v>
      </c>
      <c r="AB23" t="s">
        <v>130</v>
      </c>
      <c r="AC23" t="s">
        <v>56</v>
      </c>
      <c r="AD23">
        <v>2025</v>
      </c>
    </row>
    <row r="24" spans="1:30" x14ac:dyDescent="0.45">
      <c r="A24" t="s">
        <v>131</v>
      </c>
      <c r="B24" t="s">
        <v>132</v>
      </c>
      <c r="C24" t="str">
        <f>_xlfn.XLOOKUP(Sales_Data[[#This Row],[Product_ID]],Product_Master[Product_ID],Product_Master[Product],"Not Found")</f>
        <v>Soundproof Windows</v>
      </c>
      <c r="D24" s="3">
        <v>46022</v>
      </c>
      <c r="E24" t="s">
        <v>59</v>
      </c>
      <c r="F24" t="s">
        <v>39</v>
      </c>
      <c r="G24" t="s">
        <v>82</v>
      </c>
      <c r="H24" t="s">
        <v>83</v>
      </c>
      <c r="I24" t="s">
        <v>29</v>
      </c>
      <c r="J24" t="s">
        <v>30</v>
      </c>
      <c r="K24" t="s">
        <v>31</v>
      </c>
      <c r="L24">
        <v>1</v>
      </c>
      <c r="M24">
        <v>53764</v>
      </c>
      <c r="N24">
        <v>0.05</v>
      </c>
      <c r="O24">
        <v>53764</v>
      </c>
      <c r="P24">
        <v>2688.2</v>
      </c>
      <c r="Q24">
        <v>51075.8</v>
      </c>
      <c r="R24">
        <f>YEAR(Sales_Data[[#This Row],[Order_Date]])</f>
        <v>2025</v>
      </c>
      <c r="S24" t="str">
        <f>TEXT(Sales_Data[[#This Row],[Order_Date]],"mmmm")</f>
        <v>December</v>
      </c>
      <c r="T24">
        <f t="shared" si="0"/>
        <v>12</v>
      </c>
      <c r="U24" t="str">
        <f>"Q"&amp;ROUNDUP(MONTH(Sales_Data[[#This Row],[Order_Date]])/3,0)</f>
        <v>Q4</v>
      </c>
      <c r="V24" t="s">
        <v>32</v>
      </c>
      <c r="W24" t="s">
        <v>65</v>
      </c>
      <c r="X24" t="s">
        <v>45</v>
      </c>
      <c r="Y24">
        <v>4</v>
      </c>
      <c r="Z24">
        <v>26</v>
      </c>
      <c r="AA24">
        <v>5</v>
      </c>
      <c r="AB24" t="s">
        <v>113</v>
      </c>
      <c r="AC24" t="s">
        <v>36</v>
      </c>
      <c r="AD24">
        <v>2025</v>
      </c>
    </row>
    <row r="25" spans="1:30" x14ac:dyDescent="0.45">
      <c r="A25" t="s">
        <v>133</v>
      </c>
      <c r="B25" t="s">
        <v>134</v>
      </c>
      <c r="C25" t="str">
        <f>_xlfn.XLOOKUP(Sales_Data[[#This Row],[Product_ID]],Product_Master[Product_ID],Product_Master[Product],"Not Found")</f>
        <v>Aluminium Windows</v>
      </c>
      <c r="D25" s="3">
        <v>46003</v>
      </c>
      <c r="E25" t="s">
        <v>59</v>
      </c>
      <c r="F25" t="s">
        <v>26</v>
      </c>
      <c r="G25" t="s">
        <v>50</v>
      </c>
      <c r="H25" t="s">
        <v>112</v>
      </c>
      <c r="I25" t="s">
        <v>52</v>
      </c>
      <c r="J25" t="s">
        <v>53</v>
      </c>
      <c r="K25" t="s">
        <v>31</v>
      </c>
      <c r="L25">
        <v>3</v>
      </c>
      <c r="M25">
        <v>20411</v>
      </c>
      <c r="N25">
        <v>0.1</v>
      </c>
      <c r="O25">
        <v>61233</v>
      </c>
      <c r="P25">
        <v>6123.3</v>
      </c>
      <c r="Q25">
        <v>55109.7</v>
      </c>
      <c r="R25">
        <f>YEAR(Sales_Data[[#This Row],[Order_Date]])</f>
        <v>2025</v>
      </c>
      <c r="S25" t="str">
        <f>TEXT(Sales_Data[[#This Row],[Order_Date]],"mmmm")</f>
        <v>December</v>
      </c>
      <c r="T25">
        <f t="shared" si="0"/>
        <v>12</v>
      </c>
      <c r="U25" t="str">
        <f>"Q"&amp;ROUNDUP(MONTH(Sales_Data[[#This Row],[Order_Date]])/3,0)</f>
        <v>Q4</v>
      </c>
      <c r="V25" t="s">
        <v>32</v>
      </c>
      <c r="W25" t="s">
        <v>33</v>
      </c>
      <c r="X25" t="s">
        <v>45</v>
      </c>
      <c r="Y25">
        <v>1</v>
      </c>
      <c r="Z25">
        <v>11</v>
      </c>
      <c r="AA25">
        <v>5</v>
      </c>
      <c r="AB25" t="s">
        <v>113</v>
      </c>
      <c r="AC25" t="s">
        <v>36</v>
      </c>
      <c r="AD25">
        <v>2025</v>
      </c>
    </row>
    <row r="26" spans="1:30" x14ac:dyDescent="0.45">
      <c r="A26" t="s">
        <v>135</v>
      </c>
      <c r="B26" t="s">
        <v>136</v>
      </c>
      <c r="C26" t="str">
        <f>_xlfn.XLOOKUP(Sales_Data[[#This Row],[Product_ID]],Product_Master[Product_ID],Product_Master[Product],"Not Found")</f>
        <v>Bi-Fold Doors</v>
      </c>
      <c r="D26" s="3">
        <v>45692</v>
      </c>
      <c r="E26" t="s">
        <v>59</v>
      </c>
      <c r="F26" t="s">
        <v>70</v>
      </c>
      <c r="G26" t="s">
        <v>116</v>
      </c>
      <c r="H26" t="s">
        <v>51</v>
      </c>
      <c r="I26" t="s">
        <v>41</v>
      </c>
      <c r="J26" t="s">
        <v>42</v>
      </c>
      <c r="K26" t="s">
        <v>43</v>
      </c>
      <c r="L26">
        <v>5</v>
      </c>
      <c r="M26">
        <v>62432</v>
      </c>
      <c r="N26">
        <v>0.05</v>
      </c>
      <c r="O26">
        <v>312160</v>
      </c>
      <c r="P26">
        <v>15608</v>
      </c>
      <c r="Q26">
        <v>296552</v>
      </c>
      <c r="R26">
        <f>YEAR(Sales_Data[[#This Row],[Order_Date]])</f>
        <v>2025</v>
      </c>
      <c r="S26" t="str">
        <f>TEXT(Sales_Data[[#This Row],[Order_Date]],"mmmm")</f>
        <v>February</v>
      </c>
      <c r="T26">
        <f t="shared" si="0"/>
        <v>2</v>
      </c>
      <c r="U26" t="str">
        <f>"Q"&amp;ROUNDUP(MONTH(Sales_Data[[#This Row],[Order_Date]])/3,0)</f>
        <v>Q1</v>
      </c>
      <c r="V26" t="s">
        <v>32</v>
      </c>
      <c r="W26" t="s">
        <v>54</v>
      </c>
      <c r="X26" t="s">
        <v>34</v>
      </c>
      <c r="Y26">
        <v>5</v>
      </c>
      <c r="Z26">
        <v>27</v>
      </c>
      <c r="AA26">
        <v>4</v>
      </c>
      <c r="AB26" t="s">
        <v>55</v>
      </c>
      <c r="AC26" t="s">
        <v>56</v>
      </c>
      <c r="AD26">
        <v>2025</v>
      </c>
    </row>
    <row r="27" spans="1:30" x14ac:dyDescent="0.45">
      <c r="A27" t="s">
        <v>137</v>
      </c>
      <c r="B27" t="s">
        <v>138</v>
      </c>
      <c r="C27" t="str">
        <f>_xlfn.XLOOKUP(Sales_Data[[#This Row],[Product_ID]],Product_Master[Product_ID],Product_Master[Product],"Not Found")</f>
        <v>Bi-Fold Doors</v>
      </c>
      <c r="D27" s="3">
        <v>45722</v>
      </c>
      <c r="E27" t="s">
        <v>59</v>
      </c>
      <c r="F27" t="s">
        <v>26</v>
      </c>
      <c r="G27" t="s">
        <v>139</v>
      </c>
      <c r="H27" t="s">
        <v>71</v>
      </c>
      <c r="I27" t="s">
        <v>41</v>
      </c>
      <c r="J27" t="s">
        <v>42</v>
      </c>
      <c r="K27" t="s">
        <v>43</v>
      </c>
      <c r="L27">
        <v>2</v>
      </c>
      <c r="M27">
        <v>63075</v>
      </c>
      <c r="N27">
        <v>0</v>
      </c>
      <c r="O27">
        <v>126150</v>
      </c>
      <c r="P27">
        <v>0</v>
      </c>
      <c r="Q27">
        <v>126150</v>
      </c>
      <c r="R27">
        <f>YEAR(Sales_Data[[#This Row],[Order_Date]])</f>
        <v>2025</v>
      </c>
      <c r="S27" t="str">
        <f>TEXT(Sales_Data[[#This Row],[Order_Date]],"mmmm")</f>
        <v>March</v>
      </c>
      <c r="T27">
        <f t="shared" si="0"/>
        <v>3</v>
      </c>
      <c r="U27" t="str">
        <f>"Q"&amp;ROUNDUP(MONTH(Sales_Data[[#This Row],[Order_Date]])/3,0)</f>
        <v>Q1</v>
      </c>
      <c r="V27" t="s">
        <v>122</v>
      </c>
      <c r="W27" t="s">
        <v>54</v>
      </c>
      <c r="X27" t="s">
        <v>66</v>
      </c>
      <c r="Y27">
        <v>2</v>
      </c>
      <c r="Z27">
        <v>13</v>
      </c>
      <c r="AA27">
        <v>4</v>
      </c>
      <c r="AB27" t="s">
        <v>130</v>
      </c>
      <c r="AC27" t="s">
        <v>56</v>
      </c>
      <c r="AD27">
        <v>2025</v>
      </c>
    </row>
    <row r="28" spans="1:30" x14ac:dyDescent="0.45">
      <c r="A28" t="s">
        <v>140</v>
      </c>
      <c r="B28" t="s">
        <v>141</v>
      </c>
      <c r="C28" t="str">
        <f>_xlfn.XLOOKUP(Sales_Data[[#This Row],[Product_ID]],Product_Master[Product_ID],Product_Master[Product],"Not Found")</f>
        <v>uPVC Windows</v>
      </c>
      <c r="D28" s="3">
        <v>45968</v>
      </c>
      <c r="E28" t="s">
        <v>59</v>
      </c>
      <c r="F28" t="s">
        <v>60</v>
      </c>
      <c r="G28" t="s">
        <v>40</v>
      </c>
      <c r="H28" t="s">
        <v>28</v>
      </c>
      <c r="I28" t="s">
        <v>62</v>
      </c>
      <c r="J28" t="s">
        <v>63</v>
      </c>
      <c r="K28" t="s">
        <v>31</v>
      </c>
      <c r="L28">
        <v>6</v>
      </c>
      <c r="M28">
        <v>19312</v>
      </c>
      <c r="N28">
        <v>0.1</v>
      </c>
      <c r="O28">
        <v>115872</v>
      </c>
      <c r="P28">
        <v>11587.2</v>
      </c>
      <c r="Q28">
        <v>104284.8</v>
      </c>
      <c r="R28">
        <f>YEAR(Sales_Data[[#This Row],[Order_Date]])</f>
        <v>2025</v>
      </c>
      <c r="S28" t="str">
        <f>TEXT(Sales_Data[[#This Row],[Order_Date]],"mmmm")</f>
        <v>November</v>
      </c>
      <c r="T28">
        <f t="shared" si="0"/>
        <v>11</v>
      </c>
      <c r="U28" t="str">
        <f>"Q"&amp;ROUNDUP(MONTH(Sales_Data[[#This Row],[Order_Date]])/3,0)</f>
        <v>Q4</v>
      </c>
      <c r="V28" t="s">
        <v>44</v>
      </c>
      <c r="W28" t="s">
        <v>65</v>
      </c>
      <c r="X28" t="s">
        <v>66</v>
      </c>
      <c r="Y28">
        <v>3</v>
      </c>
      <c r="Z28">
        <v>21</v>
      </c>
      <c r="AA28">
        <v>3</v>
      </c>
      <c r="AB28" t="s">
        <v>67</v>
      </c>
      <c r="AC28" t="s">
        <v>36</v>
      </c>
      <c r="AD28">
        <v>2025</v>
      </c>
    </row>
    <row r="29" spans="1:30" x14ac:dyDescent="0.45">
      <c r="A29" t="s">
        <v>142</v>
      </c>
      <c r="B29" t="s">
        <v>143</v>
      </c>
      <c r="C29" t="str">
        <f>_xlfn.XLOOKUP(Sales_Data[[#This Row],[Product_ID]],Product_Master[Product_ID],Product_Master[Product],"Not Found")</f>
        <v>uPVC Windows</v>
      </c>
      <c r="D29" s="3">
        <v>45658</v>
      </c>
      <c r="E29" t="s">
        <v>59</v>
      </c>
      <c r="F29" t="s">
        <v>39</v>
      </c>
      <c r="G29" t="s">
        <v>61</v>
      </c>
      <c r="H29" t="s">
        <v>51</v>
      </c>
      <c r="I29" t="s">
        <v>62</v>
      </c>
      <c r="J29" t="s">
        <v>63</v>
      </c>
      <c r="K29" t="s">
        <v>31</v>
      </c>
      <c r="L29">
        <v>3</v>
      </c>
      <c r="M29">
        <v>17436</v>
      </c>
      <c r="N29">
        <v>0.05</v>
      </c>
      <c r="O29">
        <v>52308</v>
      </c>
      <c r="P29">
        <v>2615.4</v>
      </c>
      <c r="Q29">
        <v>49692.6</v>
      </c>
      <c r="R29">
        <f>YEAR(Sales_Data[[#This Row],[Order_Date]])</f>
        <v>2025</v>
      </c>
      <c r="S29" t="str">
        <f>TEXT(Sales_Data[[#This Row],[Order_Date]],"mmmm")</f>
        <v>January</v>
      </c>
      <c r="T29">
        <f t="shared" si="0"/>
        <v>1</v>
      </c>
      <c r="U29" t="str">
        <f>"Q"&amp;ROUNDUP(MONTH(Sales_Data[[#This Row],[Order_Date]])/3,0)</f>
        <v>Q1</v>
      </c>
      <c r="V29" t="s">
        <v>32</v>
      </c>
      <c r="W29" t="s">
        <v>33</v>
      </c>
      <c r="X29" t="s">
        <v>34</v>
      </c>
      <c r="Y29">
        <v>2</v>
      </c>
      <c r="Z29">
        <v>26</v>
      </c>
      <c r="AA29">
        <v>5</v>
      </c>
      <c r="AB29" t="s">
        <v>144</v>
      </c>
      <c r="AC29" t="s">
        <v>56</v>
      </c>
      <c r="AD29">
        <v>2025</v>
      </c>
    </row>
    <row r="30" spans="1:30" x14ac:dyDescent="0.45">
      <c r="A30" t="s">
        <v>145</v>
      </c>
      <c r="B30" t="s">
        <v>146</v>
      </c>
      <c r="C30" t="str">
        <f>_xlfn.XLOOKUP(Sales_Data[[#This Row],[Product_ID]],Product_Master[Product_ID],Product_Master[Product],"Not Found")</f>
        <v>Sliding Doors</v>
      </c>
      <c r="D30" s="3">
        <v>45963</v>
      </c>
      <c r="E30" t="s">
        <v>25</v>
      </c>
      <c r="F30" t="s">
        <v>60</v>
      </c>
      <c r="G30" t="s">
        <v>40</v>
      </c>
      <c r="H30" t="s">
        <v>71</v>
      </c>
      <c r="I30" t="s">
        <v>101</v>
      </c>
      <c r="J30" t="s">
        <v>102</v>
      </c>
      <c r="K30" t="s">
        <v>43</v>
      </c>
      <c r="L30">
        <v>4</v>
      </c>
      <c r="M30">
        <v>38643</v>
      </c>
      <c r="N30">
        <v>0.2</v>
      </c>
      <c r="O30">
        <v>154572</v>
      </c>
      <c r="P30">
        <v>30914.400000000001</v>
      </c>
      <c r="Q30">
        <v>123657.60000000001</v>
      </c>
      <c r="R30">
        <f>YEAR(Sales_Data[[#This Row],[Order_Date]])</f>
        <v>2025</v>
      </c>
      <c r="S30" t="str">
        <f>TEXT(Sales_Data[[#This Row],[Order_Date]],"mmmm")</f>
        <v>November</v>
      </c>
      <c r="T30">
        <f t="shared" si="0"/>
        <v>11</v>
      </c>
      <c r="U30" t="str">
        <f>"Q"&amp;ROUNDUP(MONTH(Sales_Data[[#This Row],[Order_Date]])/3,0)</f>
        <v>Q4</v>
      </c>
      <c r="V30" t="s">
        <v>44</v>
      </c>
      <c r="W30" t="s">
        <v>33</v>
      </c>
      <c r="X30" t="s">
        <v>45</v>
      </c>
      <c r="Y30">
        <v>5</v>
      </c>
      <c r="Z30">
        <v>25</v>
      </c>
      <c r="AA30">
        <v>5</v>
      </c>
      <c r="AB30" t="s">
        <v>67</v>
      </c>
      <c r="AC30" t="s">
        <v>36</v>
      </c>
      <c r="AD30">
        <v>2025</v>
      </c>
    </row>
    <row r="31" spans="1:30" x14ac:dyDescent="0.45">
      <c r="A31" t="s">
        <v>147</v>
      </c>
      <c r="B31" t="s">
        <v>148</v>
      </c>
      <c r="C31" t="str">
        <f>_xlfn.XLOOKUP(Sales_Data[[#This Row],[Product_ID]],Product_Master[Product_ID],Product_Master[Product],"Not Found")</f>
        <v>Sliding Doors</v>
      </c>
      <c r="D31" s="3">
        <v>45760</v>
      </c>
      <c r="E31" t="s">
        <v>25</v>
      </c>
      <c r="F31" t="s">
        <v>26</v>
      </c>
      <c r="G31" t="s">
        <v>111</v>
      </c>
      <c r="H31" t="s">
        <v>112</v>
      </c>
      <c r="I31" t="s">
        <v>101</v>
      </c>
      <c r="J31" t="s">
        <v>102</v>
      </c>
      <c r="K31" t="s">
        <v>43</v>
      </c>
      <c r="L31">
        <v>6</v>
      </c>
      <c r="M31">
        <v>36901</v>
      </c>
      <c r="N31">
        <v>0.2</v>
      </c>
      <c r="O31">
        <v>221406</v>
      </c>
      <c r="P31">
        <v>44281.2</v>
      </c>
      <c r="Q31">
        <v>177124.8</v>
      </c>
      <c r="R31">
        <f>YEAR(Sales_Data[[#This Row],[Order_Date]])</f>
        <v>2025</v>
      </c>
      <c r="S31" t="str">
        <f>TEXT(Sales_Data[[#This Row],[Order_Date]],"mmmm")</f>
        <v>April</v>
      </c>
      <c r="T31">
        <f t="shared" si="0"/>
        <v>4</v>
      </c>
      <c r="U31" t="str">
        <f>"Q"&amp;ROUNDUP(MONTH(Sales_Data[[#This Row],[Order_Date]])/3,0)</f>
        <v>Q2</v>
      </c>
      <c r="V31" t="s">
        <v>44</v>
      </c>
      <c r="W31" t="s">
        <v>33</v>
      </c>
      <c r="X31" t="s">
        <v>34</v>
      </c>
      <c r="Y31">
        <v>1</v>
      </c>
      <c r="Z31">
        <v>10</v>
      </c>
      <c r="AA31">
        <v>4</v>
      </c>
      <c r="AB31" t="s">
        <v>77</v>
      </c>
      <c r="AC31" t="s">
        <v>47</v>
      </c>
      <c r="AD31">
        <v>2025</v>
      </c>
    </row>
    <row r="32" spans="1:30" x14ac:dyDescent="0.45">
      <c r="A32" t="s">
        <v>149</v>
      </c>
      <c r="B32" t="s">
        <v>150</v>
      </c>
      <c r="C32" t="str">
        <f>_xlfn.XLOOKUP(Sales_Data[[#This Row],[Product_ID]],Product_Master[Product_ID],Product_Master[Product],"Not Found")</f>
        <v>uPVC Doors</v>
      </c>
      <c r="D32" s="3">
        <v>45687</v>
      </c>
      <c r="E32" t="s">
        <v>25</v>
      </c>
      <c r="F32" t="s">
        <v>26</v>
      </c>
      <c r="G32" t="s">
        <v>61</v>
      </c>
      <c r="H32" t="s">
        <v>71</v>
      </c>
      <c r="I32" t="s">
        <v>107</v>
      </c>
      <c r="J32" t="s">
        <v>108</v>
      </c>
      <c r="K32" t="s">
        <v>43</v>
      </c>
      <c r="L32">
        <v>2</v>
      </c>
      <c r="M32">
        <v>33467</v>
      </c>
      <c r="N32">
        <v>0.2</v>
      </c>
      <c r="O32">
        <v>66934</v>
      </c>
      <c r="P32">
        <v>13386.8</v>
      </c>
      <c r="Q32">
        <v>53547.199999999997</v>
      </c>
      <c r="R32">
        <f>YEAR(Sales_Data[[#This Row],[Order_Date]])</f>
        <v>2025</v>
      </c>
      <c r="S32" t="str">
        <f>TEXT(Sales_Data[[#This Row],[Order_Date]],"mmmm")</f>
        <v>January</v>
      </c>
      <c r="T32">
        <f t="shared" si="0"/>
        <v>1</v>
      </c>
      <c r="U32" t="str">
        <f>"Q"&amp;ROUNDUP(MONTH(Sales_Data[[#This Row],[Order_Date]])/3,0)</f>
        <v>Q1</v>
      </c>
      <c r="V32" t="s">
        <v>44</v>
      </c>
      <c r="W32" t="s">
        <v>33</v>
      </c>
      <c r="X32" t="s">
        <v>45</v>
      </c>
      <c r="Y32">
        <v>2</v>
      </c>
      <c r="Z32">
        <v>10</v>
      </c>
      <c r="AA32">
        <v>4</v>
      </c>
      <c r="AB32" t="s">
        <v>144</v>
      </c>
      <c r="AC32" t="s">
        <v>56</v>
      </c>
      <c r="AD32">
        <v>2025</v>
      </c>
    </row>
    <row r="33" spans="1:30" x14ac:dyDescent="0.45">
      <c r="A33" t="s">
        <v>151</v>
      </c>
      <c r="B33" t="s">
        <v>152</v>
      </c>
      <c r="C33" t="str">
        <f>_xlfn.XLOOKUP(Sales_Data[[#This Row],[Product_ID]],Product_Master[Product_ID],Product_Master[Product],"Not Found")</f>
        <v>Casement Windows</v>
      </c>
      <c r="D33" s="3">
        <v>45783</v>
      </c>
      <c r="E33" t="s">
        <v>59</v>
      </c>
      <c r="F33" t="s">
        <v>39</v>
      </c>
      <c r="G33" t="s">
        <v>139</v>
      </c>
      <c r="H33" t="s">
        <v>88</v>
      </c>
      <c r="I33" t="s">
        <v>75</v>
      </c>
      <c r="J33" t="s">
        <v>76</v>
      </c>
      <c r="K33" t="s">
        <v>31</v>
      </c>
      <c r="L33">
        <v>3</v>
      </c>
      <c r="M33">
        <v>27167</v>
      </c>
      <c r="N33">
        <v>0.05</v>
      </c>
      <c r="O33">
        <v>81501</v>
      </c>
      <c r="P33">
        <v>4075.05</v>
      </c>
      <c r="Q33">
        <v>77425.95</v>
      </c>
      <c r="R33">
        <f>YEAR(Sales_Data[[#This Row],[Order_Date]])</f>
        <v>2025</v>
      </c>
      <c r="S33" t="str">
        <f>TEXT(Sales_Data[[#This Row],[Order_Date]],"mmmm")</f>
        <v>May</v>
      </c>
      <c r="T33">
        <f t="shared" si="0"/>
        <v>5</v>
      </c>
      <c r="U33" t="str">
        <f>"Q"&amp;ROUNDUP(MONTH(Sales_Data[[#This Row],[Order_Date]])/3,0)</f>
        <v>Q2</v>
      </c>
      <c r="V33" t="s">
        <v>44</v>
      </c>
      <c r="W33" t="s">
        <v>33</v>
      </c>
      <c r="X33" t="s">
        <v>34</v>
      </c>
      <c r="Y33">
        <v>4</v>
      </c>
      <c r="Z33">
        <v>12</v>
      </c>
      <c r="AA33">
        <v>5</v>
      </c>
      <c r="AB33" t="s">
        <v>72</v>
      </c>
      <c r="AC33" t="s">
        <v>47</v>
      </c>
      <c r="AD33">
        <v>2025</v>
      </c>
    </row>
    <row r="34" spans="1:30" x14ac:dyDescent="0.45">
      <c r="A34" t="s">
        <v>153</v>
      </c>
      <c r="B34" t="s">
        <v>154</v>
      </c>
      <c r="C34" t="str">
        <f>_xlfn.XLOOKUP(Sales_Data[[#This Row],[Product_ID]],Product_Master[Product_ID],Product_Master[Product],"Not Found")</f>
        <v>uPVC Windows</v>
      </c>
      <c r="D34" s="3">
        <v>45852</v>
      </c>
      <c r="E34" t="s">
        <v>59</v>
      </c>
      <c r="F34" t="s">
        <v>26</v>
      </c>
      <c r="G34" t="s">
        <v>40</v>
      </c>
      <c r="H34" t="s">
        <v>119</v>
      </c>
      <c r="I34" t="s">
        <v>62</v>
      </c>
      <c r="J34" t="s">
        <v>63</v>
      </c>
      <c r="K34" t="s">
        <v>31</v>
      </c>
      <c r="L34">
        <v>3</v>
      </c>
      <c r="M34">
        <v>18518</v>
      </c>
      <c r="N34">
        <v>0.2</v>
      </c>
      <c r="O34">
        <v>55554</v>
      </c>
      <c r="P34">
        <v>11110.8</v>
      </c>
      <c r="Q34">
        <v>44443.199999999997</v>
      </c>
      <c r="R34">
        <f>YEAR(Sales_Data[[#This Row],[Order_Date]])</f>
        <v>2025</v>
      </c>
      <c r="S34" t="str">
        <f>TEXT(Sales_Data[[#This Row],[Order_Date]],"mmmm")</f>
        <v>July</v>
      </c>
      <c r="T34">
        <f t="shared" si="0"/>
        <v>7</v>
      </c>
      <c r="U34" t="str">
        <f>"Q"&amp;ROUNDUP(MONTH(Sales_Data[[#This Row],[Order_Date]])/3,0)</f>
        <v>Q3</v>
      </c>
      <c r="V34" t="s">
        <v>98</v>
      </c>
      <c r="W34" t="s">
        <v>33</v>
      </c>
      <c r="X34" t="s">
        <v>45</v>
      </c>
      <c r="Y34">
        <v>6</v>
      </c>
      <c r="Z34">
        <v>25</v>
      </c>
      <c r="AA34">
        <v>4</v>
      </c>
      <c r="AB34" t="s">
        <v>155</v>
      </c>
      <c r="AC34" t="s">
        <v>90</v>
      </c>
      <c r="AD34">
        <v>2025</v>
      </c>
    </row>
    <row r="35" spans="1:30" x14ac:dyDescent="0.45">
      <c r="A35" t="s">
        <v>156</v>
      </c>
      <c r="B35" t="s">
        <v>157</v>
      </c>
      <c r="C35" t="str">
        <f>_xlfn.XLOOKUP(Sales_Data[[#This Row],[Product_ID]],Product_Master[Product_ID],Product_Master[Product],"Not Found")</f>
        <v>Casement Windows</v>
      </c>
      <c r="D35" s="3">
        <v>45890</v>
      </c>
      <c r="E35" t="s">
        <v>25</v>
      </c>
      <c r="F35" t="s">
        <v>26</v>
      </c>
      <c r="G35" t="s">
        <v>82</v>
      </c>
      <c r="H35" t="s">
        <v>119</v>
      </c>
      <c r="I35" t="s">
        <v>75</v>
      </c>
      <c r="J35" t="s">
        <v>76</v>
      </c>
      <c r="K35" t="s">
        <v>31</v>
      </c>
      <c r="L35">
        <v>4</v>
      </c>
      <c r="M35">
        <v>24741</v>
      </c>
      <c r="N35">
        <v>0.05</v>
      </c>
      <c r="O35">
        <v>98964</v>
      </c>
      <c r="P35">
        <v>4948.2</v>
      </c>
      <c r="Q35">
        <v>94015.8</v>
      </c>
      <c r="R35">
        <f>YEAR(Sales_Data[[#This Row],[Order_Date]])</f>
        <v>2025</v>
      </c>
      <c r="S35" t="str">
        <f>TEXT(Sales_Data[[#This Row],[Order_Date]],"mmmm")</f>
        <v>August</v>
      </c>
      <c r="T35">
        <f t="shared" si="0"/>
        <v>8</v>
      </c>
      <c r="U35" t="str">
        <f>"Q"&amp;ROUNDUP(MONTH(Sales_Data[[#This Row],[Order_Date]])/3,0)</f>
        <v>Q3</v>
      </c>
      <c r="V35" t="s">
        <v>32</v>
      </c>
      <c r="W35" t="s">
        <v>65</v>
      </c>
      <c r="X35" t="s">
        <v>34</v>
      </c>
      <c r="Y35">
        <v>7</v>
      </c>
      <c r="Z35">
        <v>28</v>
      </c>
      <c r="AA35">
        <v>5</v>
      </c>
      <c r="AB35" t="s">
        <v>123</v>
      </c>
      <c r="AC35" t="s">
        <v>90</v>
      </c>
      <c r="AD35">
        <v>2025</v>
      </c>
    </row>
    <row r="36" spans="1:30" x14ac:dyDescent="0.45">
      <c r="A36" t="s">
        <v>158</v>
      </c>
      <c r="B36" t="s">
        <v>159</v>
      </c>
      <c r="C36" t="str">
        <f>_xlfn.XLOOKUP(Sales_Data[[#This Row],[Product_ID]],Product_Master[Product_ID],Product_Master[Product],"Not Found")</f>
        <v>uPVC Doors</v>
      </c>
      <c r="D36" s="3">
        <v>45705</v>
      </c>
      <c r="E36" t="s">
        <v>25</v>
      </c>
      <c r="F36" t="s">
        <v>39</v>
      </c>
      <c r="G36" t="s">
        <v>40</v>
      </c>
      <c r="H36" t="s">
        <v>28</v>
      </c>
      <c r="I36" t="s">
        <v>107</v>
      </c>
      <c r="J36" t="s">
        <v>108</v>
      </c>
      <c r="K36" t="s">
        <v>43</v>
      </c>
      <c r="L36">
        <v>5</v>
      </c>
      <c r="M36">
        <v>27019</v>
      </c>
      <c r="N36">
        <v>0.15</v>
      </c>
      <c r="O36">
        <v>135095</v>
      </c>
      <c r="P36">
        <v>20264.25</v>
      </c>
      <c r="Q36">
        <v>114830.75</v>
      </c>
      <c r="R36">
        <f>YEAR(Sales_Data[[#This Row],[Order_Date]])</f>
        <v>2025</v>
      </c>
      <c r="S36" t="str">
        <f>TEXT(Sales_Data[[#This Row],[Order_Date]],"mmmm")</f>
        <v>February</v>
      </c>
      <c r="T36">
        <f t="shared" si="0"/>
        <v>2</v>
      </c>
      <c r="U36" t="str">
        <f>"Q"&amp;ROUNDUP(MONTH(Sales_Data[[#This Row],[Order_Date]])/3,0)</f>
        <v>Q1</v>
      </c>
      <c r="V36" t="s">
        <v>122</v>
      </c>
      <c r="W36" t="s">
        <v>33</v>
      </c>
      <c r="X36" t="s">
        <v>66</v>
      </c>
      <c r="Y36">
        <v>6</v>
      </c>
      <c r="Z36">
        <v>30</v>
      </c>
      <c r="AA36">
        <v>5</v>
      </c>
      <c r="AB36" t="s">
        <v>55</v>
      </c>
      <c r="AC36" t="s">
        <v>56</v>
      </c>
      <c r="AD36">
        <v>2025</v>
      </c>
    </row>
    <row r="37" spans="1:30" x14ac:dyDescent="0.45">
      <c r="A37" t="s">
        <v>160</v>
      </c>
      <c r="B37" t="s">
        <v>161</v>
      </c>
      <c r="C37" t="str">
        <f>_xlfn.XLOOKUP(Sales_Data[[#This Row],[Product_ID]],Product_Master[Product_ID],Product_Master[Product],"Not Found")</f>
        <v>Sliding Doors</v>
      </c>
      <c r="D37" s="3">
        <v>45672</v>
      </c>
      <c r="E37" t="s">
        <v>59</v>
      </c>
      <c r="F37" t="s">
        <v>39</v>
      </c>
      <c r="G37" t="s">
        <v>116</v>
      </c>
      <c r="H37" t="s">
        <v>88</v>
      </c>
      <c r="I37" t="s">
        <v>101</v>
      </c>
      <c r="J37" t="s">
        <v>102</v>
      </c>
      <c r="K37" t="s">
        <v>43</v>
      </c>
      <c r="L37">
        <v>1</v>
      </c>
      <c r="M37">
        <v>37952</v>
      </c>
      <c r="N37">
        <v>0.05</v>
      </c>
      <c r="O37">
        <v>37952</v>
      </c>
      <c r="P37">
        <v>1897.6</v>
      </c>
      <c r="Q37">
        <v>36054.400000000001</v>
      </c>
      <c r="R37">
        <f>YEAR(Sales_Data[[#This Row],[Order_Date]])</f>
        <v>2025</v>
      </c>
      <c r="S37" t="str">
        <f>TEXT(Sales_Data[[#This Row],[Order_Date]],"mmmm")</f>
        <v>January</v>
      </c>
      <c r="T37">
        <f t="shared" si="0"/>
        <v>1</v>
      </c>
      <c r="U37" t="str">
        <f>"Q"&amp;ROUNDUP(MONTH(Sales_Data[[#This Row],[Order_Date]])/3,0)</f>
        <v>Q1</v>
      </c>
      <c r="V37" t="s">
        <v>32</v>
      </c>
      <c r="W37" t="s">
        <v>33</v>
      </c>
      <c r="X37" t="s">
        <v>45</v>
      </c>
      <c r="Y37">
        <v>5</v>
      </c>
      <c r="Z37">
        <v>24</v>
      </c>
      <c r="AA37">
        <v>4</v>
      </c>
      <c r="AB37" t="s">
        <v>144</v>
      </c>
      <c r="AC37" t="s">
        <v>56</v>
      </c>
      <c r="AD37">
        <v>2025</v>
      </c>
    </row>
    <row r="38" spans="1:30" x14ac:dyDescent="0.45">
      <c r="A38" t="s">
        <v>162</v>
      </c>
      <c r="B38" t="s">
        <v>163</v>
      </c>
      <c r="C38" t="str">
        <f>_xlfn.XLOOKUP(Sales_Data[[#This Row],[Product_ID]],Product_Master[Product_ID],Product_Master[Product],"Not Found")</f>
        <v>Aluminium Windows</v>
      </c>
      <c r="D38" s="3">
        <v>45724</v>
      </c>
      <c r="E38" t="s">
        <v>59</v>
      </c>
      <c r="F38" t="s">
        <v>60</v>
      </c>
      <c r="G38" t="s">
        <v>111</v>
      </c>
      <c r="H38" t="s">
        <v>88</v>
      </c>
      <c r="I38" t="s">
        <v>52</v>
      </c>
      <c r="J38" t="s">
        <v>53</v>
      </c>
      <c r="K38" t="s">
        <v>31</v>
      </c>
      <c r="L38">
        <v>1</v>
      </c>
      <c r="M38">
        <v>22541</v>
      </c>
      <c r="N38">
        <v>0</v>
      </c>
      <c r="O38">
        <v>22541</v>
      </c>
      <c r="P38">
        <v>0</v>
      </c>
      <c r="Q38">
        <v>22541</v>
      </c>
      <c r="R38">
        <f>YEAR(Sales_Data[[#This Row],[Order_Date]])</f>
        <v>2025</v>
      </c>
      <c r="S38" t="str">
        <f>TEXT(Sales_Data[[#This Row],[Order_Date]],"mmmm")</f>
        <v>March</v>
      </c>
      <c r="T38">
        <f t="shared" si="0"/>
        <v>3</v>
      </c>
      <c r="U38" t="str">
        <f>"Q"&amp;ROUNDUP(MONTH(Sales_Data[[#This Row],[Order_Date]])/3,0)</f>
        <v>Q1</v>
      </c>
      <c r="V38" t="s">
        <v>64</v>
      </c>
      <c r="W38" t="s">
        <v>33</v>
      </c>
      <c r="X38" t="s">
        <v>45</v>
      </c>
      <c r="Y38">
        <v>1</v>
      </c>
      <c r="Z38">
        <v>9</v>
      </c>
      <c r="AA38">
        <v>4</v>
      </c>
      <c r="AB38" t="s">
        <v>130</v>
      </c>
      <c r="AC38" t="s">
        <v>56</v>
      </c>
      <c r="AD38">
        <v>2025</v>
      </c>
    </row>
    <row r="39" spans="1:30" x14ac:dyDescent="0.45">
      <c r="A39" t="s">
        <v>164</v>
      </c>
      <c r="B39" t="s">
        <v>165</v>
      </c>
      <c r="C39" t="str">
        <f>_xlfn.XLOOKUP(Sales_Data[[#This Row],[Product_ID]],Product_Master[Product_ID],Product_Master[Product],"Not Found")</f>
        <v>French Doors</v>
      </c>
      <c r="D39" s="3">
        <v>45704</v>
      </c>
      <c r="E39" t="s">
        <v>59</v>
      </c>
      <c r="F39" t="s">
        <v>60</v>
      </c>
      <c r="G39" t="s">
        <v>40</v>
      </c>
      <c r="H39" t="s">
        <v>88</v>
      </c>
      <c r="I39" t="s">
        <v>84</v>
      </c>
      <c r="J39" t="s">
        <v>85</v>
      </c>
      <c r="K39" t="s">
        <v>43</v>
      </c>
      <c r="L39">
        <v>1</v>
      </c>
      <c r="M39">
        <v>44211</v>
      </c>
      <c r="N39">
        <v>0.05</v>
      </c>
      <c r="O39">
        <v>44211</v>
      </c>
      <c r="P39">
        <v>2210.5500000000002</v>
      </c>
      <c r="Q39">
        <v>42000.45</v>
      </c>
      <c r="R39">
        <f>YEAR(Sales_Data[[#This Row],[Order_Date]])</f>
        <v>2025</v>
      </c>
      <c r="S39" t="str">
        <f>TEXT(Sales_Data[[#This Row],[Order_Date]],"mmmm")</f>
        <v>February</v>
      </c>
      <c r="T39">
        <f t="shared" si="0"/>
        <v>2</v>
      </c>
      <c r="U39" t="str">
        <f>"Q"&amp;ROUNDUP(MONTH(Sales_Data[[#This Row],[Order_Date]])/3,0)</f>
        <v>Q1</v>
      </c>
      <c r="V39" t="s">
        <v>44</v>
      </c>
      <c r="W39" t="s">
        <v>33</v>
      </c>
      <c r="X39" t="s">
        <v>45</v>
      </c>
      <c r="Y39">
        <v>2</v>
      </c>
      <c r="Z39">
        <v>28</v>
      </c>
      <c r="AA39">
        <v>3</v>
      </c>
      <c r="AB39" t="s">
        <v>55</v>
      </c>
      <c r="AC39" t="s">
        <v>56</v>
      </c>
      <c r="AD39">
        <v>2025</v>
      </c>
    </row>
    <row r="40" spans="1:30" x14ac:dyDescent="0.45">
      <c r="A40" t="s">
        <v>166</v>
      </c>
      <c r="B40" t="s">
        <v>167</v>
      </c>
      <c r="C40" t="str">
        <f>_xlfn.XLOOKUP(Sales_Data[[#This Row],[Product_ID]],Product_Master[Product_ID],Product_Master[Product],"Not Found")</f>
        <v>uPVC Doors</v>
      </c>
      <c r="D40" s="3">
        <v>45795</v>
      </c>
      <c r="E40" t="s">
        <v>25</v>
      </c>
      <c r="F40" t="s">
        <v>39</v>
      </c>
      <c r="G40" t="s">
        <v>139</v>
      </c>
      <c r="H40" t="s">
        <v>28</v>
      </c>
      <c r="I40" t="s">
        <v>107</v>
      </c>
      <c r="J40" t="s">
        <v>108</v>
      </c>
      <c r="K40" t="s">
        <v>43</v>
      </c>
      <c r="L40">
        <v>4</v>
      </c>
      <c r="M40">
        <v>28512</v>
      </c>
      <c r="N40">
        <v>0.1</v>
      </c>
      <c r="O40">
        <v>114048</v>
      </c>
      <c r="P40">
        <v>11404.8</v>
      </c>
      <c r="Q40">
        <v>102643.2</v>
      </c>
      <c r="R40">
        <f>YEAR(Sales_Data[[#This Row],[Order_Date]])</f>
        <v>2025</v>
      </c>
      <c r="S40" t="str">
        <f>TEXT(Sales_Data[[#This Row],[Order_Date]],"mmmm")</f>
        <v>May</v>
      </c>
      <c r="T40">
        <f t="shared" si="0"/>
        <v>5</v>
      </c>
      <c r="U40" t="str">
        <f>"Q"&amp;ROUNDUP(MONTH(Sales_Data[[#This Row],[Order_Date]])/3,0)</f>
        <v>Q2</v>
      </c>
      <c r="V40" t="s">
        <v>32</v>
      </c>
      <c r="W40" t="s">
        <v>33</v>
      </c>
      <c r="X40" t="s">
        <v>45</v>
      </c>
      <c r="Y40">
        <v>6</v>
      </c>
      <c r="Z40">
        <v>27</v>
      </c>
      <c r="AA40">
        <v>5</v>
      </c>
      <c r="AB40" t="s">
        <v>72</v>
      </c>
      <c r="AC40" t="s">
        <v>47</v>
      </c>
      <c r="AD40">
        <v>2025</v>
      </c>
    </row>
    <row r="41" spans="1:30" x14ac:dyDescent="0.45">
      <c r="A41" t="s">
        <v>168</v>
      </c>
      <c r="B41" t="s">
        <v>169</v>
      </c>
      <c r="C41" t="str">
        <f>_xlfn.XLOOKUP(Sales_Data[[#This Row],[Product_ID]],Product_Master[Product_ID],Product_Master[Product],"Not Found")</f>
        <v>uPVC Doors</v>
      </c>
      <c r="D41" s="3">
        <v>45761</v>
      </c>
      <c r="E41" t="s">
        <v>59</v>
      </c>
      <c r="F41" t="s">
        <v>70</v>
      </c>
      <c r="G41" t="s">
        <v>139</v>
      </c>
      <c r="H41" t="s">
        <v>88</v>
      </c>
      <c r="I41" t="s">
        <v>107</v>
      </c>
      <c r="J41" t="s">
        <v>108</v>
      </c>
      <c r="K41" t="s">
        <v>43</v>
      </c>
      <c r="L41">
        <v>6</v>
      </c>
      <c r="M41">
        <v>33747</v>
      </c>
      <c r="N41">
        <v>0.1</v>
      </c>
      <c r="O41">
        <v>202482</v>
      </c>
      <c r="P41">
        <v>20248.2</v>
      </c>
      <c r="Q41">
        <v>182233.8</v>
      </c>
      <c r="R41">
        <f>YEAR(Sales_Data[[#This Row],[Order_Date]])</f>
        <v>2025</v>
      </c>
      <c r="S41" t="str">
        <f>TEXT(Sales_Data[[#This Row],[Order_Date]],"mmmm")</f>
        <v>April</v>
      </c>
      <c r="T41">
        <f t="shared" si="0"/>
        <v>4</v>
      </c>
      <c r="U41" t="str">
        <f>"Q"&amp;ROUNDUP(MONTH(Sales_Data[[#This Row],[Order_Date]])/3,0)</f>
        <v>Q2</v>
      </c>
      <c r="V41" t="s">
        <v>44</v>
      </c>
      <c r="W41" t="s">
        <v>33</v>
      </c>
      <c r="X41" t="s">
        <v>45</v>
      </c>
      <c r="Y41">
        <v>2</v>
      </c>
      <c r="Z41">
        <v>18</v>
      </c>
      <c r="AA41">
        <v>2</v>
      </c>
      <c r="AB41" t="s">
        <v>77</v>
      </c>
      <c r="AC41" t="s">
        <v>47</v>
      </c>
      <c r="AD41">
        <v>2025</v>
      </c>
    </row>
    <row r="42" spans="1:30" x14ac:dyDescent="0.45">
      <c r="A42" t="s">
        <v>170</v>
      </c>
      <c r="B42" t="s">
        <v>171</v>
      </c>
      <c r="C42" t="str">
        <f>_xlfn.XLOOKUP(Sales_Data[[#This Row],[Product_ID]],Product_Master[Product_ID],Product_Master[Product],"Not Found")</f>
        <v>Sliding Doors</v>
      </c>
      <c r="D42" s="3">
        <v>45940</v>
      </c>
      <c r="E42" t="s">
        <v>25</v>
      </c>
      <c r="F42" t="s">
        <v>60</v>
      </c>
      <c r="G42" t="s">
        <v>27</v>
      </c>
      <c r="H42" t="s">
        <v>88</v>
      </c>
      <c r="I42" t="s">
        <v>101</v>
      </c>
      <c r="J42" t="s">
        <v>102</v>
      </c>
      <c r="K42" t="s">
        <v>43</v>
      </c>
      <c r="L42">
        <v>5</v>
      </c>
      <c r="M42">
        <v>38734</v>
      </c>
      <c r="N42">
        <v>0.2</v>
      </c>
      <c r="O42">
        <v>193670</v>
      </c>
      <c r="P42">
        <v>38734</v>
      </c>
      <c r="Q42">
        <v>154936</v>
      </c>
      <c r="R42">
        <f>YEAR(Sales_Data[[#This Row],[Order_Date]])</f>
        <v>2025</v>
      </c>
      <c r="S42" t="str">
        <f>TEXT(Sales_Data[[#This Row],[Order_Date]],"mmmm")</f>
        <v>October</v>
      </c>
      <c r="T42">
        <f t="shared" si="0"/>
        <v>10</v>
      </c>
      <c r="U42" t="str">
        <f>"Q"&amp;ROUNDUP(MONTH(Sales_Data[[#This Row],[Order_Date]])/3,0)</f>
        <v>Q4</v>
      </c>
      <c r="V42" t="s">
        <v>32</v>
      </c>
      <c r="W42" t="s">
        <v>54</v>
      </c>
      <c r="X42" t="s">
        <v>45</v>
      </c>
      <c r="Y42">
        <v>5</v>
      </c>
      <c r="Z42">
        <v>12</v>
      </c>
      <c r="AA42">
        <v>4</v>
      </c>
      <c r="AB42" t="s">
        <v>35</v>
      </c>
      <c r="AC42" t="s">
        <v>36</v>
      </c>
      <c r="AD42">
        <v>2025</v>
      </c>
    </row>
    <row r="43" spans="1:30" x14ac:dyDescent="0.45">
      <c r="A43" t="s">
        <v>172</v>
      </c>
      <c r="B43" t="s">
        <v>173</v>
      </c>
      <c r="C43" t="str">
        <f>_xlfn.XLOOKUP(Sales_Data[[#This Row],[Product_ID]],Product_Master[Product_ID],Product_Master[Product],"Not Found")</f>
        <v>French Doors</v>
      </c>
      <c r="D43" s="3">
        <v>45706</v>
      </c>
      <c r="E43" t="s">
        <v>25</v>
      </c>
      <c r="F43" t="s">
        <v>60</v>
      </c>
      <c r="G43" t="s">
        <v>50</v>
      </c>
      <c r="H43" t="s">
        <v>88</v>
      </c>
      <c r="I43" t="s">
        <v>84</v>
      </c>
      <c r="J43" t="s">
        <v>85</v>
      </c>
      <c r="K43" t="s">
        <v>43</v>
      </c>
      <c r="L43">
        <v>1</v>
      </c>
      <c r="M43">
        <v>47891</v>
      </c>
      <c r="N43">
        <v>0</v>
      </c>
      <c r="O43">
        <v>47891</v>
      </c>
      <c r="P43">
        <v>0</v>
      </c>
      <c r="Q43">
        <v>47891</v>
      </c>
      <c r="R43">
        <f>YEAR(Sales_Data[[#This Row],[Order_Date]])</f>
        <v>2025</v>
      </c>
      <c r="S43" t="str">
        <f>TEXT(Sales_Data[[#This Row],[Order_Date]],"mmmm")</f>
        <v>February</v>
      </c>
      <c r="T43">
        <f t="shared" si="0"/>
        <v>2</v>
      </c>
      <c r="U43" t="str">
        <f>"Q"&amp;ROUNDUP(MONTH(Sales_Data[[#This Row],[Order_Date]])/3,0)</f>
        <v>Q1</v>
      </c>
      <c r="V43" t="s">
        <v>122</v>
      </c>
      <c r="W43" t="s">
        <v>33</v>
      </c>
      <c r="X43" t="s">
        <v>34</v>
      </c>
      <c r="Y43">
        <v>5</v>
      </c>
      <c r="Z43">
        <v>27</v>
      </c>
      <c r="AA43">
        <v>4</v>
      </c>
      <c r="AB43" t="s">
        <v>55</v>
      </c>
      <c r="AC43" t="s">
        <v>56</v>
      </c>
      <c r="AD43">
        <v>2025</v>
      </c>
    </row>
    <row r="44" spans="1:30" x14ac:dyDescent="0.45">
      <c r="A44" t="s">
        <v>174</v>
      </c>
      <c r="B44" t="s">
        <v>175</v>
      </c>
      <c r="C44" t="str">
        <f>_xlfn.XLOOKUP(Sales_Data[[#This Row],[Product_ID]],Product_Master[Product_ID],Product_Master[Product],"Not Found")</f>
        <v>French Doors</v>
      </c>
      <c r="D44" s="3">
        <v>45945</v>
      </c>
      <c r="E44" t="s">
        <v>59</v>
      </c>
      <c r="F44" t="s">
        <v>70</v>
      </c>
      <c r="G44" t="s">
        <v>40</v>
      </c>
      <c r="H44" t="s">
        <v>88</v>
      </c>
      <c r="I44" t="s">
        <v>84</v>
      </c>
      <c r="J44" t="s">
        <v>85</v>
      </c>
      <c r="K44" t="s">
        <v>43</v>
      </c>
      <c r="L44">
        <v>2</v>
      </c>
      <c r="M44">
        <v>46903</v>
      </c>
      <c r="N44">
        <v>0.05</v>
      </c>
      <c r="O44">
        <v>93806</v>
      </c>
      <c r="P44">
        <v>4690.3</v>
      </c>
      <c r="Q44">
        <v>89115.7</v>
      </c>
      <c r="R44">
        <f>YEAR(Sales_Data[[#This Row],[Order_Date]])</f>
        <v>2025</v>
      </c>
      <c r="S44" t="str">
        <f>TEXT(Sales_Data[[#This Row],[Order_Date]],"mmmm")</f>
        <v>October</v>
      </c>
      <c r="T44">
        <f t="shared" si="0"/>
        <v>10</v>
      </c>
      <c r="U44" t="str">
        <f>"Q"&amp;ROUNDUP(MONTH(Sales_Data[[#This Row],[Order_Date]])/3,0)</f>
        <v>Q4</v>
      </c>
      <c r="V44" t="s">
        <v>64</v>
      </c>
      <c r="W44" t="s">
        <v>33</v>
      </c>
      <c r="X44" t="s">
        <v>45</v>
      </c>
      <c r="Y44">
        <v>7</v>
      </c>
      <c r="Z44">
        <v>9</v>
      </c>
      <c r="AA44">
        <v>3</v>
      </c>
      <c r="AB44" t="s">
        <v>35</v>
      </c>
      <c r="AC44" t="s">
        <v>36</v>
      </c>
      <c r="AD44">
        <v>2025</v>
      </c>
    </row>
    <row r="45" spans="1:30" x14ac:dyDescent="0.45">
      <c r="A45" t="s">
        <v>176</v>
      </c>
      <c r="B45" t="s">
        <v>177</v>
      </c>
      <c r="C45" t="str">
        <f>_xlfn.XLOOKUP(Sales_Data[[#This Row],[Product_ID]],Product_Master[Product_ID],Product_Master[Product],"Not Found")</f>
        <v>Aluminium Windows</v>
      </c>
      <c r="D45" s="3">
        <v>45852</v>
      </c>
      <c r="E45" t="s">
        <v>25</v>
      </c>
      <c r="F45" t="s">
        <v>60</v>
      </c>
      <c r="G45" t="s">
        <v>116</v>
      </c>
      <c r="H45" t="s">
        <v>51</v>
      </c>
      <c r="I45" t="s">
        <v>52</v>
      </c>
      <c r="J45" t="s">
        <v>53</v>
      </c>
      <c r="K45" t="s">
        <v>31</v>
      </c>
      <c r="L45">
        <v>4</v>
      </c>
      <c r="M45">
        <v>24368</v>
      </c>
      <c r="N45">
        <v>0.05</v>
      </c>
      <c r="O45">
        <v>97472</v>
      </c>
      <c r="P45">
        <v>4873.6000000000004</v>
      </c>
      <c r="Q45">
        <v>92598.399999999994</v>
      </c>
      <c r="R45">
        <f>YEAR(Sales_Data[[#This Row],[Order_Date]])</f>
        <v>2025</v>
      </c>
      <c r="S45" t="str">
        <f>TEXT(Sales_Data[[#This Row],[Order_Date]],"mmmm")</f>
        <v>July</v>
      </c>
      <c r="T45">
        <f t="shared" si="0"/>
        <v>7</v>
      </c>
      <c r="U45" t="str">
        <f>"Q"&amp;ROUNDUP(MONTH(Sales_Data[[#This Row],[Order_Date]])/3,0)</f>
        <v>Q3</v>
      </c>
      <c r="V45" t="s">
        <v>98</v>
      </c>
      <c r="W45" t="s">
        <v>33</v>
      </c>
      <c r="X45" t="s">
        <v>93</v>
      </c>
      <c r="Y45">
        <v>4</v>
      </c>
      <c r="Z45">
        <v>28</v>
      </c>
      <c r="AA45">
        <v>2</v>
      </c>
      <c r="AB45" t="s">
        <v>155</v>
      </c>
      <c r="AC45" t="s">
        <v>90</v>
      </c>
      <c r="AD45">
        <v>2025</v>
      </c>
    </row>
    <row r="46" spans="1:30" x14ac:dyDescent="0.45">
      <c r="A46" t="s">
        <v>178</v>
      </c>
      <c r="B46" t="s">
        <v>179</v>
      </c>
      <c r="C46" t="str">
        <f>_xlfn.XLOOKUP(Sales_Data[[#This Row],[Product_ID]],Product_Master[Product_ID],Product_Master[Product],"Not Found")</f>
        <v>Bi-Fold Doors</v>
      </c>
      <c r="D46" s="3">
        <v>45777</v>
      </c>
      <c r="E46" t="s">
        <v>59</v>
      </c>
      <c r="F46" t="s">
        <v>26</v>
      </c>
      <c r="G46" t="s">
        <v>40</v>
      </c>
      <c r="H46" t="s">
        <v>71</v>
      </c>
      <c r="I46" t="s">
        <v>41</v>
      </c>
      <c r="J46" t="s">
        <v>42</v>
      </c>
      <c r="K46" t="s">
        <v>43</v>
      </c>
      <c r="L46">
        <v>3</v>
      </c>
      <c r="M46">
        <v>61800</v>
      </c>
      <c r="N46">
        <v>0.15</v>
      </c>
      <c r="O46">
        <v>185400</v>
      </c>
      <c r="P46">
        <v>27810</v>
      </c>
      <c r="Q46">
        <v>157590</v>
      </c>
      <c r="R46">
        <f>YEAR(Sales_Data[[#This Row],[Order_Date]])</f>
        <v>2025</v>
      </c>
      <c r="S46" t="str">
        <f>TEXT(Sales_Data[[#This Row],[Order_Date]],"mmmm")</f>
        <v>April</v>
      </c>
      <c r="T46">
        <f t="shared" si="0"/>
        <v>4</v>
      </c>
      <c r="U46" t="str">
        <f>"Q"&amp;ROUNDUP(MONTH(Sales_Data[[#This Row],[Order_Date]])/3,0)</f>
        <v>Q2</v>
      </c>
      <c r="V46" t="s">
        <v>32</v>
      </c>
      <c r="W46" t="s">
        <v>33</v>
      </c>
      <c r="X46" t="s">
        <v>34</v>
      </c>
      <c r="Y46">
        <v>7</v>
      </c>
      <c r="Z46">
        <v>13</v>
      </c>
      <c r="AA46">
        <v>3</v>
      </c>
      <c r="AB46" t="s">
        <v>77</v>
      </c>
      <c r="AC46" t="s">
        <v>47</v>
      </c>
      <c r="AD46">
        <v>2025</v>
      </c>
    </row>
    <row r="47" spans="1:30" x14ac:dyDescent="0.45">
      <c r="A47" t="s">
        <v>180</v>
      </c>
      <c r="B47" t="s">
        <v>181</v>
      </c>
      <c r="C47" t="str">
        <f>_xlfn.XLOOKUP(Sales_Data[[#This Row],[Product_ID]],Product_Master[Product_ID],Product_Master[Product],"Not Found")</f>
        <v>uPVC Windows</v>
      </c>
      <c r="D47" s="3">
        <v>45733</v>
      </c>
      <c r="E47" t="s">
        <v>59</v>
      </c>
      <c r="F47" t="s">
        <v>70</v>
      </c>
      <c r="G47" t="s">
        <v>27</v>
      </c>
      <c r="H47" t="s">
        <v>119</v>
      </c>
      <c r="I47" t="s">
        <v>62</v>
      </c>
      <c r="J47" t="s">
        <v>63</v>
      </c>
      <c r="K47" t="s">
        <v>31</v>
      </c>
      <c r="L47">
        <v>5</v>
      </c>
      <c r="M47">
        <v>16249</v>
      </c>
      <c r="N47">
        <v>0</v>
      </c>
      <c r="O47">
        <v>81245</v>
      </c>
      <c r="P47">
        <v>0</v>
      </c>
      <c r="Q47">
        <v>81245</v>
      </c>
      <c r="R47">
        <f>YEAR(Sales_Data[[#This Row],[Order_Date]])</f>
        <v>2025</v>
      </c>
      <c r="S47" t="str">
        <f>TEXT(Sales_Data[[#This Row],[Order_Date]],"mmmm")</f>
        <v>March</v>
      </c>
      <c r="T47">
        <f t="shared" si="0"/>
        <v>3</v>
      </c>
      <c r="U47" t="str">
        <f>"Q"&amp;ROUNDUP(MONTH(Sales_Data[[#This Row],[Order_Date]])/3,0)</f>
        <v>Q1</v>
      </c>
      <c r="V47" t="s">
        <v>44</v>
      </c>
      <c r="W47" t="s">
        <v>33</v>
      </c>
      <c r="X47" t="s">
        <v>34</v>
      </c>
      <c r="Y47">
        <v>7</v>
      </c>
      <c r="Z47">
        <v>14</v>
      </c>
      <c r="AA47">
        <v>5</v>
      </c>
      <c r="AB47" t="s">
        <v>130</v>
      </c>
      <c r="AC47" t="s">
        <v>56</v>
      </c>
      <c r="AD47">
        <v>2025</v>
      </c>
    </row>
    <row r="48" spans="1:30" x14ac:dyDescent="0.45">
      <c r="A48" t="s">
        <v>182</v>
      </c>
      <c r="B48" t="s">
        <v>183</v>
      </c>
      <c r="C48" t="str">
        <f>_xlfn.XLOOKUP(Sales_Data[[#This Row],[Product_ID]],Product_Master[Product_ID],Product_Master[Product],"Not Found")</f>
        <v>French Doors</v>
      </c>
      <c r="D48" s="3">
        <v>45770</v>
      </c>
      <c r="E48" t="s">
        <v>25</v>
      </c>
      <c r="F48" t="s">
        <v>70</v>
      </c>
      <c r="G48" t="s">
        <v>139</v>
      </c>
      <c r="H48" t="s">
        <v>112</v>
      </c>
      <c r="I48" t="s">
        <v>84</v>
      </c>
      <c r="J48" t="s">
        <v>85</v>
      </c>
      <c r="K48" t="s">
        <v>43</v>
      </c>
      <c r="L48">
        <v>3</v>
      </c>
      <c r="M48">
        <v>40919</v>
      </c>
      <c r="N48">
        <v>0.1</v>
      </c>
      <c r="O48">
        <v>122757</v>
      </c>
      <c r="P48">
        <v>12275.7</v>
      </c>
      <c r="Q48">
        <v>110481.3</v>
      </c>
      <c r="R48">
        <f>YEAR(Sales_Data[[#This Row],[Order_Date]])</f>
        <v>2025</v>
      </c>
      <c r="S48" t="str">
        <f>TEXT(Sales_Data[[#This Row],[Order_Date]],"mmmm")</f>
        <v>April</v>
      </c>
      <c r="T48">
        <f t="shared" si="0"/>
        <v>4</v>
      </c>
      <c r="U48" t="str">
        <f>"Q"&amp;ROUNDUP(MONTH(Sales_Data[[#This Row],[Order_Date]])/3,0)</f>
        <v>Q2</v>
      </c>
      <c r="V48" t="s">
        <v>32</v>
      </c>
      <c r="W48" t="s">
        <v>33</v>
      </c>
      <c r="X48" t="s">
        <v>45</v>
      </c>
      <c r="Y48">
        <v>7</v>
      </c>
      <c r="Z48">
        <v>24</v>
      </c>
      <c r="AA48">
        <v>3</v>
      </c>
      <c r="AB48" t="s">
        <v>77</v>
      </c>
      <c r="AC48" t="s">
        <v>47</v>
      </c>
      <c r="AD48">
        <v>2025</v>
      </c>
    </row>
    <row r="49" spans="1:30" x14ac:dyDescent="0.45">
      <c r="A49" t="s">
        <v>184</v>
      </c>
      <c r="B49" t="s">
        <v>185</v>
      </c>
      <c r="C49" t="str">
        <f>_xlfn.XLOOKUP(Sales_Data[[#This Row],[Product_ID]],Product_Master[Product_ID],Product_Master[Product],"Not Found")</f>
        <v>French Doors</v>
      </c>
      <c r="D49" s="3">
        <v>45994</v>
      </c>
      <c r="E49" t="s">
        <v>59</v>
      </c>
      <c r="F49" t="s">
        <v>26</v>
      </c>
      <c r="G49" t="s">
        <v>111</v>
      </c>
      <c r="H49" t="s">
        <v>28</v>
      </c>
      <c r="I49" t="s">
        <v>84</v>
      </c>
      <c r="J49" t="s">
        <v>85</v>
      </c>
      <c r="K49" t="s">
        <v>43</v>
      </c>
      <c r="L49">
        <v>6</v>
      </c>
      <c r="M49">
        <v>47829</v>
      </c>
      <c r="N49">
        <v>0</v>
      </c>
      <c r="O49">
        <v>286974</v>
      </c>
      <c r="P49">
        <v>0</v>
      </c>
      <c r="Q49">
        <v>286974</v>
      </c>
      <c r="R49">
        <f>YEAR(Sales_Data[[#This Row],[Order_Date]])</f>
        <v>2025</v>
      </c>
      <c r="S49" t="str">
        <f>TEXT(Sales_Data[[#This Row],[Order_Date]],"mmmm")</f>
        <v>December</v>
      </c>
      <c r="T49">
        <f t="shared" si="0"/>
        <v>12</v>
      </c>
      <c r="U49" t="str">
        <f>"Q"&amp;ROUNDUP(MONTH(Sales_Data[[#This Row],[Order_Date]])/3,0)</f>
        <v>Q4</v>
      </c>
      <c r="V49" t="s">
        <v>32</v>
      </c>
      <c r="W49" t="s">
        <v>33</v>
      </c>
      <c r="X49" t="s">
        <v>45</v>
      </c>
      <c r="Y49">
        <v>5</v>
      </c>
      <c r="Z49">
        <v>15</v>
      </c>
      <c r="AA49">
        <v>4</v>
      </c>
      <c r="AB49" t="s">
        <v>113</v>
      </c>
      <c r="AC49" t="s">
        <v>36</v>
      </c>
      <c r="AD49">
        <v>2025</v>
      </c>
    </row>
    <row r="50" spans="1:30" x14ac:dyDescent="0.45">
      <c r="A50" t="s">
        <v>186</v>
      </c>
      <c r="B50" t="s">
        <v>187</v>
      </c>
      <c r="C50" t="str">
        <f>_xlfn.XLOOKUP(Sales_Data[[#This Row],[Product_ID]],Product_Master[Product_ID],Product_Master[Product],"Not Found")</f>
        <v>uPVC Windows</v>
      </c>
      <c r="D50" s="3">
        <v>45867</v>
      </c>
      <c r="E50" t="s">
        <v>25</v>
      </c>
      <c r="F50" t="s">
        <v>26</v>
      </c>
      <c r="G50" t="s">
        <v>139</v>
      </c>
      <c r="H50" t="s">
        <v>119</v>
      </c>
      <c r="I50" t="s">
        <v>62</v>
      </c>
      <c r="J50" t="s">
        <v>63</v>
      </c>
      <c r="K50" t="s">
        <v>31</v>
      </c>
      <c r="L50">
        <v>1</v>
      </c>
      <c r="M50">
        <v>20186</v>
      </c>
      <c r="N50">
        <v>0.1</v>
      </c>
      <c r="O50">
        <v>20186</v>
      </c>
      <c r="P50">
        <v>2018.6</v>
      </c>
      <c r="Q50">
        <v>18167.400000000001</v>
      </c>
      <c r="R50">
        <f>YEAR(Sales_Data[[#This Row],[Order_Date]])</f>
        <v>2025</v>
      </c>
      <c r="S50" t="str">
        <f>TEXT(Sales_Data[[#This Row],[Order_Date]],"mmmm")</f>
        <v>July</v>
      </c>
      <c r="T50">
        <f t="shared" si="0"/>
        <v>7</v>
      </c>
      <c r="U50" t="str">
        <f>"Q"&amp;ROUNDUP(MONTH(Sales_Data[[#This Row],[Order_Date]])/3,0)</f>
        <v>Q3</v>
      </c>
      <c r="V50" t="s">
        <v>98</v>
      </c>
      <c r="W50" t="s">
        <v>33</v>
      </c>
      <c r="X50" t="s">
        <v>66</v>
      </c>
      <c r="Y50">
        <v>5</v>
      </c>
      <c r="Z50">
        <v>22</v>
      </c>
      <c r="AA50">
        <v>5</v>
      </c>
      <c r="AB50" t="s">
        <v>155</v>
      </c>
      <c r="AC50" t="s">
        <v>90</v>
      </c>
      <c r="AD50">
        <v>2025</v>
      </c>
    </row>
    <row r="51" spans="1:30" x14ac:dyDescent="0.45">
      <c r="A51" t="s">
        <v>188</v>
      </c>
      <c r="B51" t="s">
        <v>189</v>
      </c>
      <c r="C51" t="str">
        <f>_xlfn.XLOOKUP(Sales_Data[[#This Row],[Product_ID]],Product_Master[Product_ID],Product_Master[Product],"Not Found")</f>
        <v>Sliding Doors</v>
      </c>
      <c r="D51" s="3">
        <v>45696</v>
      </c>
      <c r="E51" t="s">
        <v>59</v>
      </c>
      <c r="F51" t="s">
        <v>60</v>
      </c>
      <c r="G51" t="s">
        <v>82</v>
      </c>
      <c r="H51" t="s">
        <v>83</v>
      </c>
      <c r="I51" t="s">
        <v>101</v>
      </c>
      <c r="J51" t="s">
        <v>102</v>
      </c>
      <c r="K51" t="s">
        <v>43</v>
      </c>
      <c r="L51">
        <v>6</v>
      </c>
      <c r="M51">
        <v>34568</v>
      </c>
      <c r="N51">
        <v>0.15</v>
      </c>
      <c r="O51">
        <v>207408</v>
      </c>
      <c r="P51">
        <v>31111.200000000001</v>
      </c>
      <c r="Q51">
        <v>176296.8</v>
      </c>
      <c r="R51">
        <f>YEAR(Sales_Data[[#This Row],[Order_Date]])</f>
        <v>2025</v>
      </c>
      <c r="S51" t="str">
        <f>TEXT(Sales_Data[[#This Row],[Order_Date]],"mmmm")</f>
        <v>February</v>
      </c>
      <c r="T51">
        <f t="shared" si="0"/>
        <v>2</v>
      </c>
      <c r="U51" t="str">
        <f>"Q"&amp;ROUNDUP(MONTH(Sales_Data[[#This Row],[Order_Date]])/3,0)</f>
        <v>Q1</v>
      </c>
      <c r="V51" t="s">
        <v>44</v>
      </c>
      <c r="W51" t="s">
        <v>54</v>
      </c>
      <c r="X51" t="s">
        <v>93</v>
      </c>
      <c r="Y51">
        <v>2</v>
      </c>
      <c r="Z51">
        <v>29</v>
      </c>
      <c r="AA51">
        <v>4</v>
      </c>
      <c r="AB51" t="s">
        <v>55</v>
      </c>
      <c r="AC51" t="s">
        <v>56</v>
      </c>
      <c r="AD51">
        <v>2025</v>
      </c>
    </row>
    <row r="52" spans="1:30" x14ac:dyDescent="0.45">
      <c r="A52" t="s">
        <v>190</v>
      </c>
      <c r="B52" t="s">
        <v>191</v>
      </c>
      <c r="C52" t="str">
        <f>_xlfn.XLOOKUP(Sales_Data[[#This Row],[Product_ID]],Product_Master[Product_ID],Product_Master[Product],"Not Found")</f>
        <v>French Doors</v>
      </c>
      <c r="D52" s="3">
        <v>45722</v>
      </c>
      <c r="E52" t="s">
        <v>25</v>
      </c>
      <c r="F52" t="s">
        <v>60</v>
      </c>
      <c r="G52" t="s">
        <v>111</v>
      </c>
      <c r="H52" t="s">
        <v>83</v>
      </c>
      <c r="I52" t="s">
        <v>84</v>
      </c>
      <c r="J52" t="s">
        <v>85</v>
      </c>
      <c r="K52" t="s">
        <v>43</v>
      </c>
      <c r="L52">
        <v>6</v>
      </c>
      <c r="M52">
        <v>37835</v>
      </c>
      <c r="N52">
        <v>0.1</v>
      </c>
      <c r="O52">
        <v>227010</v>
      </c>
      <c r="P52">
        <v>22701</v>
      </c>
      <c r="Q52">
        <v>204309</v>
      </c>
      <c r="R52">
        <f>YEAR(Sales_Data[[#This Row],[Order_Date]])</f>
        <v>2025</v>
      </c>
      <c r="S52" t="str">
        <f>TEXT(Sales_Data[[#This Row],[Order_Date]],"mmmm")</f>
        <v>March</v>
      </c>
      <c r="T52">
        <f t="shared" si="0"/>
        <v>3</v>
      </c>
      <c r="U52" t="str">
        <f>"Q"&amp;ROUNDUP(MONTH(Sales_Data[[#This Row],[Order_Date]])/3,0)</f>
        <v>Q1</v>
      </c>
      <c r="V52" t="s">
        <v>64</v>
      </c>
      <c r="W52" t="s">
        <v>33</v>
      </c>
      <c r="X52" t="s">
        <v>45</v>
      </c>
      <c r="Y52">
        <v>5</v>
      </c>
      <c r="Z52">
        <v>18</v>
      </c>
      <c r="AA52">
        <v>2</v>
      </c>
      <c r="AB52" t="s">
        <v>130</v>
      </c>
      <c r="AC52" t="s">
        <v>56</v>
      </c>
      <c r="AD52">
        <v>2025</v>
      </c>
    </row>
    <row r="53" spans="1:30" x14ac:dyDescent="0.45">
      <c r="A53" t="s">
        <v>192</v>
      </c>
      <c r="B53" t="s">
        <v>193</v>
      </c>
      <c r="C53" t="str">
        <f>_xlfn.XLOOKUP(Sales_Data[[#This Row],[Product_ID]],Product_Master[Product_ID],Product_Master[Product],"Not Found")</f>
        <v>uPVC Windows</v>
      </c>
      <c r="D53" s="3">
        <v>45898</v>
      </c>
      <c r="E53" t="s">
        <v>59</v>
      </c>
      <c r="F53" t="s">
        <v>60</v>
      </c>
      <c r="G53" t="s">
        <v>139</v>
      </c>
      <c r="H53" t="s">
        <v>88</v>
      </c>
      <c r="I53" t="s">
        <v>62</v>
      </c>
      <c r="J53" t="s">
        <v>63</v>
      </c>
      <c r="K53" t="s">
        <v>31</v>
      </c>
      <c r="L53">
        <v>2</v>
      </c>
      <c r="M53">
        <v>19708</v>
      </c>
      <c r="N53">
        <v>0.05</v>
      </c>
      <c r="O53">
        <v>39416</v>
      </c>
      <c r="P53">
        <v>1970.8</v>
      </c>
      <c r="Q53">
        <v>37445.199999999997</v>
      </c>
      <c r="R53">
        <f>YEAR(Sales_Data[[#This Row],[Order_Date]])</f>
        <v>2025</v>
      </c>
      <c r="S53" t="str">
        <f>TEXT(Sales_Data[[#This Row],[Order_Date]],"mmmm")</f>
        <v>August</v>
      </c>
      <c r="T53">
        <f t="shared" si="0"/>
        <v>8</v>
      </c>
      <c r="U53" t="str">
        <f>"Q"&amp;ROUNDUP(MONTH(Sales_Data[[#This Row],[Order_Date]])/3,0)</f>
        <v>Q3</v>
      </c>
      <c r="V53" t="s">
        <v>98</v>
      </c>
      <c r="W53" t="s">
        <v>54</v>
      </c>
      <c r="X53" t="s">
        <v>93</v>
      </c>
      <c r="Y53">
        <v>5</v>
      </c>
      <c r="Z53">
        <v>14</v>
      </c>
      <c r="AA53">
        <v>4</v>
      </c>
      <c r="AB53" t="s">
        <v>123</v>
      </c>
      <c r="AC53" t="s">
        <v>90</v>
      </c>
      <c r="AD53">
        <v>2025</v>
      </c>
    </row>
    <row r="54" spans="1:30" x14ac:dyDescent="0.45">
      <c r="A54" t="s">
        <v>194</v>
      </c>
      <c r="B54" t="s">
        <v>195</v>
      </c>
      <c r="C54" t="str">
        <f>_xlfn.XLOOKUP(Sales_Data[[#This Row],[Product_ID]],Product_Master[Product_ID],Product_Master[Product],"Not Found")</f>
        <v>Soundproof Windows</v>
      </c>
      <c r="D54" s="3">
        <v>45697</v>
      </c>
      <c r="E54" t="s">
        <v>59</v>
      </c>
      <c r="F54" t="s">
        <v>60</v>
      </c>
      <c r="G54" t="s">
        <v>61</v>
      </c>
      <c r="H54" t="s">
        <v>119</v>
      </c>
      <c r="I54" t="s">
        <v>29</v>
      </c>
      <c r="J54" t="s">
        <v>30</v>
      </c>
      <c r="K54" t="s">
        <v>31</v>
      </c>
      <c r="L54">
        <v>2</v>
      </c>
      <c r="M54">
        <v>49725</v>
      </c>
      <c r="N54">
        <v>0.15</v>
      </c>
      <c r="O54">
        <v>99450</v>
      </c>
      <c r="P54">
        <v>14917.5</v>
      </c>
      <c r="Q54">
        <v>84532.5</v>
      </c>
      <c r="R54">
        <f>YEAR(Sales_Data[[#This Row],[Order_Date]])</f>
        <v>2025</v>
      </c>
      <c r="S54" t="str">
        <f>TEXT(Sales_Data[[#This Row],[Order_Date]],"mmmm")</f>
        <v>February</v>
      </c>
      <c r="T54">
        <f t="shared" si="0"/>
        <v>2</v>
      </c>
      <c r="U54" t="str">
        <f>"Q"&amp;ROUNDUP(MONTH(Sales_Data[[#This Row],[Order_Date]])/3,0)</f>
        <v>Q1</v>
      </c>
      <c r="V54" t="s">
        <v>98</v>
      </c>
      <c r="W54" t="s">
        <v>33</v>
      </c>
      <c r="X54" t="s">
        <v>45</v>
      </c>
      <c r="Y54">
        <v>1</v>
      </c>
      <c r="Z54">
        <v>17</v>
      </c>
      <c r="AA54">
        <v>5</v>
      </c>
      <c r="AB54" t="s">
        <v>55</v>
      </c>
      <c r="AC54" t="s">
        <v>56</v>
      </c>
      <c r="AD54">
        <v>2025</v>
      </c>
    </row>
    <row r="55" spans="1:30" x14ac:dyDescent="0.45">
      <c r="A55" t="s">
        <v>196</v>
      </c>
      <c r="B55" t="s">
        <v>197</v>
      </c>
      <c r="C55" t="str">
        <f>_xlfn.XLOOKUP(Sales_Data[[#This Row],[Product_ID]],Product_Master[Product_ID],Product_Master[Product],"Not Found")</f>
        <v>uPVC Windows</v>
      </c>
      <c r="D55" s="3">
        <v>45838</v>
      </c>
      <c r="E55" t="s">
        <v>25</v>
      </c>
      <c r="F55" t="s">
        <v>70</v>
      </c>
      <c r="G55" t="s">
        <v>82</v>
      </c>
      <c r="H55" t="s">
        <v>119</v>
      </c>
      <c r="I55" t="s">
        <v>62</v>
      </c>
      <c r="J55" t="s">
        <v>63</v>
      </c>
      <c r="K55" t="s">
        <v>31</v>
      </c>
      <c r="L55">
        <v>2</v>
      </c>
      <c r="M55">
        <v>16676</v>
      </c>
      <c r="N55">
        <v>0.1</v>
      </c>
      <c r="O55">
        <v>33352</v>
      </c>
      <c r="P55">
        <v>3335.2</v>
      </c>
      <c r="Q55">
        <v>30016.799999999999</v>
      </c>
      <c r="R55">
        <f>YEAR(Sales_Data[[#This Row],[Order_Date]])</f>
        <v>2025</v>
      </c>
      <c r="S55" t="str">
        <f>TEXT(Sales_Data[[#This Row],[Order_Date]],"mmmm")</f>
        <v>June</v>
      </c>
      <c r="T55">
        <f t="shared" si="0"/>
        <v>6</v>
      </c>
      <c r="U55" t="str">
        <f>"Q"&amp;ROUNDUP(MONTH(Sales_Data[[#This Row],[Order_Date]])/3,0)</f>
        <v>Q2</v>
      </c>
      <c r="V55" t="s">
        <v>122</v>
      </c>
      <c r="W55" t="s">
        <v>33</v>
      </c>
      <c r="X55" t="s">
        <v>66</v>
      </c>
      <c r="Y55">
        <v>2</v>
      </c>
      <c r="Z55">
        <v>14</v>
      </c>
      <c r="AA55">
        <v>5</v>
      </c>
      <c r="AB55" t="s">
        <v>46</v>
      </c>
      <c r="AC55" t="s">
        <v>47</v>
      </c>
      <c r="AD55">
        <v>2025</v>
      </c>
    </row>
    <row r="56" spans="1:30" x14ac:dyDescent="0.45">
      <c r="A56" t="s">
        <v>198</v>
      </c>
      <c r="B56" t="s">
        <v>199</v>
      </c>
      <c r="C56" t="str">
        <f>_xlfn.XLOOKUP(Sales_Data[[#This Row],[Product_ID]],Product_Master[Product_ID],Product_Master[Product],"Not Found")</f>
        <v>French Doors</v>
      </c>
      <c r="D56" s="3">
        <v>46001</v>
      </c>
      <c r="E56" t="s">
        <v>25</v>
      </c>
      <c r="F56" t="s">
        <v>70</v>
      </c>
      <c r="G56" t="s">
        <v>111</v>
      </c>
      <c r="H56" t="s">
        <v>71</v>
      </c>
      <c r="I56" t="s">
        <v>84</v>
      </c>
      <c r="J56" t="s">
        <v>85</v>
      </c>
      <c r="K56" t="s">
        <v>43</v>
      </c>
      <c r="L56">
        <v>5</v>
      </c>
      <c r="M56">
        <v>45988</v>
      </c>
      <c r="N56">
        <v>0</v>
      </c>
      <c r="O56">
        <v>229940</v>
      </c>
      <c r="P56">
        <v>0</v>
      </c>
      <c r="Q56">
        <v>229940</v>
      </c>
      <c r="R56">
        <f>YEAR(Sales_Data[[#This Row],[Order_Date]])</f>
        <v>2025</v>
      </c>
      <c r="S56" t="str">
        <f>TEXT(Sales_Data[[#This Row],[Order_Date]],"mmmm")</f>
        <v>December</v>
      </c>
      <c r="T56">
        <f t="shared" si="0"/>
        <v>12</v>
      </c>
      <c r="U56" t="str">
        <f>"Q"&amp;ROUNDUP(MONTH(Sales_Data[[#This Row],[Order_Date]])/3,0)</f>
        <v>Q4</v>
      </c>
      <c r="V56" t="s">
        <v>122</v>
      </c>
      <c r="W56" t="s">
        <v>33</v>
      </c>
      <c r="X56" t="s">
        <v>34</v>
      </c>
      <c r="Y56">
        <v>6</v>
      </c>
      <c r="Z56">
        <v>9</v>
      </c>
      <c r="AA56">
        <v>2</v>
      </c>
      <c r="AB56" t="s">
        <v>113</v>
      </c>
      <c r="AC56" t="s">
        <v>36</v>
      </c>
      <c r="AD56">
        <v>2025</v>
      </c>
    </row>
    <row r="57" spans="1:30" x14ac:dyDescent="0.45">
      <c r="A57" t="s">
        <v>200</v>
      </c>
      <c r="B57" t="s">
        <v>201</v>
      </c>
      <c r="C57" t="str">
        <f>_xlfn.XLOOKUP(Sales_Data[[#This Row],[Product_ID]],Product_Master[Product_ID],Product_Master[Product],"Not Found")</f>
        <v>Aluminium Windows</v>
      </c>
      <c r="D57" s="3">
        <v>45883</v>
      </c>
      <c r="E57" t="s">
        <v>59</v>
      </c>
      <c r="F57" t="s">
        <v>70</v>
      </c>
      <c r="G57" t="s">
        <v>139</v>
      </c>
      <c r="H57" t="s">
        <v>88</v>
      </c>
      <c r="I57" t="s">
        <v>52</v>
      </c>
      <c r="J57" t="s">
        <v>53</v>
      </c>
      <c r="K57" t="s">
        <v>31</v>
      </c>
      <c r="L57">
        <v>5</v>
      </c>
      <c r="M57">
        <v>24993</v>
      </c>
      <c r="N57">
        <v>0</v>
      </c>
      <c r="O57">
        <v>124965</v>
      </c>
      <c r="P57">
        <v>0</v>
      </c>
      <c r="Q57">
        <v>124965</v>
      </c>
      <c r="R57">
        <f>YEAR(Sales_Data[[#This Row],[Order_Date]])</f>
        <v>2025</v>
      </c>
      <c r="S57" t="str">
        <f>TEXT(Sales_Data[[#This Row],[Order_Date]],"mmmm")</f>
        <v>August</v>
      </c>
      <c r="T57">
        <f t="shared" si="0"/>
        <v>8</v>
      </c>
      <c r="U57" t="str">
        <f>"Q"&amp;ROUNDUP(MONTH(Sales_Data[[#This Row],[Order_Date]])/3,0)</f>
        <v>Q3</v>
      </c>
      <c r="V57" t="s">
        <v>98</v>
      </c>
      <c r="W57" t="s">
        <v>33</v>
      </c>
      <c r="X57" t="s">
        <v>66</v>
      </c>
      <c r="Y57">
        <v>7</v>
      </c>
      <c r="Z57">
        <v>18</v>
      </c>
      <c r="AA57">
        <v>3</v>
      </c>
      <c r="AB57" t="s">
        <v>123</v>
      </c>
      <c r="AC57" t="s">
        <v>90</v>
      </c>
      <c r="AD57">
        <v>2025</v>
      </c>
    </row>
    <row r="58" spans="1:30" x14ac:dyDescent="0.45">
      <c r="A58" t="s">
        <v>202</v>
      </c>
      <c r="B58" t="s">
        <v>203</v>
      </c>
      <c r="C58" t="str">
        <f>_xlfn.XLOOKUP(Sales_Data[[#This Row],[Product_ID]],Product_Master[Product_ID],Product_Master[Product],"Not Found")</f>
        <v>uPVC Windows</v>
      </c>
      <c r="D58" s="3">
        <v>45802</v>
      </c>
      <c r="E58" t="s">
        <v>25</v>
      </c>
      <c r="F58" t="s">
        <v>26</v>
      </c>
      <c r="G58" t="s">
        <v>50</v>
      </c>
      <c r="H58" t="s">
        <v>88</v>
      </c>
      <c r="I58" t="s">
        <v>62</v>
      </c>
      <c r="J58" t="s">
        <v>63</v>
      </c>
      <c r="K58" t="s">
        <v>31</v>
      </c>
      <c r="L58">
        <v>5</v>
      </c>
      <c r="M58">
        <v>19694</v>
      </c>
      <c r="N58">
        <v>0.15</v>
      </c>
      <c r="O58">
        <v>98470</v>
      </c>
      <c r="P58">
        <v>14770.5</v>
      </c>
      <c r="Q58">
        <v>83699.5</v>
      </c>
      <c r="R58">
        <f>YEAR(Sales_Data[[#This Row],[Order_Date]])</f>
        <v>2025</v>
      </c>
      <c r="S58" t="str">
        <f>TEXT(Sales_Data[[#This Row],[Order_Date]],"mmmm")</f>
        <v>May</v>
      </c>
      <c r="T58">
        <f t="shared" si="0"/>
        <v>5</v>
      </c>
      <c r="U58" t="str">
        <f>"Q"&amp;ROUNDUP(MONTH(Sales_Data[[#This Row],[Order_Date]])/3,0)</f>
        <v>Q2</v>
      </c>
      <c r="V58" t="s">
        <v>44</v>
      </c>
      <c r="W58" t="s">
        <v>33</v>
      </c>
      <c r="X58" t="s">
        <v>45</v>
      </c>
      <c r="Y58">
        <v>4</v>
      </c>
      <c r="Z58">
        <v>30</v>
      </c>
      <c r="AA58">
        <v>5</v>
      </c>
      <c r="AB58" t="s">
        <v>72</v>
      </c>
      <c r="AC58" t="s">
        <v>47</v>
      </c>
      <c r="AD58">
        <v>2025</v>
      </c>
    </row>
    <row r="59" spans="1:30" x14ac:dyDescent="0.45">
      <c r="A59" t="s">
        <v>204</v>
      </c>
      <c r="B59" t="s">
        <v>205</v>
      </c>
      <c r="C59" t="str">
        <f>_xlfn.XLOOKUP(Sales_Data[[#This Row],[Product_ID]],Product_Master[Product_ID],Product_Master[Product],"Not Found")</f>
        <v>Aluminium Windows</v>
      </c>
      <c r="D59" s="3">
        <v>46001</v>
      </c>
      <c r="E59" t="s">
        <v>59</v>
      </c>
      <c r="F59" t="s">
        <v>26</v>
      </c>
      <c r="G59" t="s">
        <v>27</v>
      </c>
      <c r="H59" t="s">
        <v>51</v>
      </c>
      <c r="I59" t="s">
        <v>52</v>
      </c>
      <c r="J59" t="s">
        <v>53</v>
      </c>
      <c r="K59" t="s">
        <v>31</v>
      </c>
      <c r="L59">
        <v>3</v>
      </c>
      <c r="M59">
        <v>25213</v>
      </c>
      <c r="N59">
        <v>0</v>
      </c>
      <c r="O59">
        <v>75639</v>
      </c>
      <c r="P59">
        <v>0</v>
      </c>
      <c r="Q59">
        <v>75639</v>
      </c>
      <c r="R59">
        <f>YEAR(Sales_Data[[#This Row],[Order_Date]])</f>
        <v>2025</v>
      </c>
      <c r="S59" t="str">
        <f>TEXT(Sales_Data[[#This Row],[Order_Date]],"mmmm")</f>
        <v>December</v>
      </c>
      <c r="T59">
        <f t="shared" si="0"/>
        <v>12</v>
      </c>
      <c r="U59" t="str">
        <f>"Q"&amp;ROUNDUP(MONTH(Sales_Data[[#This Row],[Order_Date]])/3,0)</f>
        <v>Q4</v>
      </c>
      <c r="V59" t="s">
        <v>32</v>
      </c>
      <c r="W59" t="s">
        <v>33</v>
      </c>
      <c r="X59" t="s">
        <v>45</v>
      </c>
      <c r="Y59">
        <v>5</v>
      </c>
      <c r="Z59">
        <v>29</v>
      </c>
      <c r="AA59">
        <v>5</v>
      </c>
      <c r="AB59" t="s">
        <v>113</v>
      </c>
      <c r="AC59" t="s">
        <v>36</v>
      </c>
      <c r="AD59">
        <v>2025</v>
      </c>
    </row>
    <row r="60" spans="1:30" x14ac:dyDescent="0.45">
      <c r="A60" t="s">
        <v>206</v>
      </c>
      <c r="B60" t="s">
        <v>207</v>
      </c>
      <c r="C60" t="str">
        <f>_xlfn.XLOOKUP(Sales_Data[[#This Row],[Product_ID]],Product_Master[Product_ID],Product_Master[Product],"Not Found")</f>
        <v>Bi-Fold Doors</v>
      </c>
      <c r="D60" s="3">
        <v>45924</v>
      </c>
      <c r="E60" t="s">
        <v>25</v>
      </c>
      <c r="F60" t="s">
        <v>39</v>
      </c>
      <c r="G60" t="s">
        <v>27</v>
      </c>
      <c r="H60" t="s">
        <v>88</v>
      </c>
      <c r="I60" t="s">
        <v>41</v>
      </c>
      <c r="J60" t="s">
        <v>42</v>
      </c>
      <c r="K60" t="s">
        <v>43</v>
      </c>
      <c r="L60">
        <v>6</v>
      </c>
      <c r="M60">
        <v>59800</v>
      </c>
      <c r="N60">
        <v>0</v>
      </c>
      <c r="O60">
        <v>358800</v>
      </c>
      <c r="P60">
        <v>0</v>
      </c>
      <c r="Q60">
        <v>358800</v>
      </c>
      <c r="R60">
        <f>YEAR(Sales_Data[[#This Row],[Order_Date]])</f>
        <v>2025</v>
      </c>
      <c r="S60" t="str">
        <f>TEXT(Sales_Data[[#This Row],[Order_Date]],"mmmm")</f>
        <v>September</v>
      </c>
      <c r="T60">
        <f t="shared" si="0"/>
        <v>9</v>
      </c>
      <c r="U60" t="str">
        <f>"Q"&amp;ROUNDUP(MONTH(Sales_Data[[#This Row],[Order_Date]])/3,0)</f>
        <v>Q3</v>
      </c>
      <c r="V60" t="s">
        <v>44</v>
      </c>
      <c r="W60" t="s">
        <v>33</v>
      </c>
      <c r="X60" t="s">
        <v>34</v>
      </c>
      <c r="Y60">
        <v>2</v>
      </c>
      <c r="Z60">
        <v>12</v>
      </c>
      <c r="AA60">
        <v>1</v>
      </c>
      <c r="AB60" t="s">
        <v>89</v>
      </c>
      <c r="AC60" t="s">
        <v>90</v>
      </c>
      <c r="AD60">
        <v>2025</v>
      </c>
    </row>
    <row r="61" spans="1:30" x14ac:dyDescent="0.45">
      <c r="A61" t="s">
        <v>208</v>
      </c>
      <c r="B61" t="s">
        <v>209</v>
      </c>
      <c r="C61" t="str">
        <f>_xlfn.XLOOKUP(Sales_Data[[#This Row],[Product_ID]],Product_Master[Product_ID],Product_Master[Product],"Not Found")</f>
        <v>French Doors</v>
      </c>
      <c r="D61" s="3">
        <v>46010</v>
      </c>
      <c r="E61" t="s">
        <v>25</v>
      </c>
      <c r="F61" t="s">
        <v>39</v>
      </c>
      <c r="G61" t="s">
        <v>82</v>
      </c>
      <c r="H61" t="s">
        <v>83</v>
      </c>
      <c r="I61" t="s">
        <v>84</v>
      </c>
      <c r="J61" t="s">
        <v>85</v>
      </c>
      <c r="K61" t="s">
        <v>43</v>
      </c>
      <c r="L61">
        <v>2</v>
      </c>
      <c r="M61">
        <v>43409</v>
      </c>
      <c r="N61">
        <v>0.15</v>
      </c>
      <c r="O61">
        <v>86818</v>
      </c>
      <c r="P61">
        <v>13022.7</v>
      </c>
      <c r="Q61">
        <v>73795.3</v>
      </c>
      <c r="R61">
        <f>YEAR(Sales_Data[[#This Row],[Order_Date]])</f>
        <v>2025</v>
      </c>
      <c r="S61" t="str">
        <f>TEXT(Sales_Data[[#This Row],[Order_Date]],"mmmm")</f>
        <v>December</v>
      </c>
      <c r="T61">
        <f t="shared" si="0"/>
        <v>12</v>
      </c>
      <c r="U61" t="str">
        <f>"Q"&amp;ROUNDUP(MONTH(Sales_Data[[#This Row],[Order_Date]])/3,0)</f>
        <v>Q4</v>
      </c>
      <c r="V61" t="s">
        <v>32</v>
      </c>
      <c r="W61" t="s">
        <v>33</v>
      </c>
      <c r="X61" t="s">
        <v>93</v>
      </c>
      <c r="Y61">
        <v>2</v>
      </c>
      <c r="Z61">
        <v>18</v>
      </c>
      <c r="AA61">
        <v>5</v>
      </c>
      <c r="AB61" t="s">
        <v>113</v>
      </c>
      <c r="AC61" t="s">
        <v>36</v>
      </c>
      <c r="AD61">
        <v>2025</v>
      </c>
    </row>
    <row r="62" spans="1:30" x14ac:dyDescent="0.45">
      <c r="A62" t="s">
        <v>210</v>
      </c>
      <c r="B62" t="s">
        <v>211</v>
      </c>
      <c r="C62" t="str">
        <f>_xlfn.XLOOKUP(Sales_Data[[#This Row],[Product_ID]],Product_Master[Product_ID],Product_Master[Product],"Not Found")</f>
        <v>Aluminium Windows</v>
      </c>
      <c r="D62" s="3">
        <v>46005</v>
      </c>
      <c r="E62" t="s">
        <v>59</v>
      </c>
      <c r="F62" t="s">
        <v>70</v>
      </c>
      <c r="G62" t="s">
        <v>40</v>
      </c>
      <c r="H62" t="s">
        <v>83</v>
      </c>
      <c r="I62" t="s">
        <v>52</v>
      </c>
      <c r="J62" t="s">
        <v>53</v>
      </c>
      <c r="K62" t="s">
        <v>31</v>
      </c>
      <c r="L62">
        <v>6</v>
      </c>
      <c r="M62">
        <v>24108</v>
      </c>
      <c r="N62">
        <v>0.1</v>
      </c>
      <c r="O62">
        <v>144648</v>
      </c>
      <c r="P62">
        <v>14464.8</v>
      </c>
      <c r="Q62">
        <v>130183.2</v>
      </c>
      <c r="R62">
        <f>YEAR(Sales_Data[[#This Row],[Order_Date]])</f>
        <v>2025</v>
      </c>
      <c r="S62" t="str">
        <f>TEXT(Sales_Data[[#This Row],[Order_Date]],"mmmm")</f>
        <v>December</v>
      </c>
      <c r="T62">
        <f t="shared" si="0"/>
        <v>12</v>
      </c>
      <c r="U62" t="str">
        <f>"Q"&amp;ROUNDUP(MONTH(Sales_Data[[#This Row],[Order_Date]])/3,0)</f>
        <v>Q4</v>
      </c>
      <c r="V62" t="s">
        <v>44</v>
      </c>
      <c r="W62" t="s">
        <v>33</v>
      </c>
      <c r="X62" t="s">
        <v>66</v>
      </c>
      <c r="Y62">
        <v>7</v>
      </c>
      <c r="Z62">
        <v>7</v>
      </c>
      <c r="AA62">
        <v>2</v>
      </c>
      <c r="AB62" t="s">
        <v>113</v>
      </c>
      <c r="AC62" t="s">
        <v>36</v>
      </c>
      <c r="AD62">
        <v>2025</v>
      </c>
    </row>
    <row r="63" spans="1:30" x14ac:dyDescent="0.45">
      <c r="A63" t="s">
        <v>212</v>
      </c>
      <c r="B63" t="s">
        <v>213</v>
      </c>
      <c r="C63" t="str">
        <f>_xlfn.XLOOKUP(Sales_Data[[#This Row],[Product_ID]],Product_Master[Product_ID],Product_Master[Product],"Not Found")</f>
        <v>uPVC Doors</v>
      </c>
      <c r="D63" s="3">
        <v>45966</v>
      </c>
      <c r="E63" t="s">
        <v>59</v>
      </c>
      <c r="F63" t="s">
        <v>60</v>
      </c>
      <c r="G63" t="s">
        <v>82</v>
      </c>
      <c r="H63" t="s">
        <v>71</v>
      </c>
      <c r="I63" t="s">
        <v>107</v>
      </c>
      <c r="J63" t="s">
        <v>108</v>
      </c>
      <c r="K63" t="s">
        <v>43</v>
      </c>
      <c r="L63">
        <v>3</v>
      </c>
      <c r="M63">
        <v>28212</v>
      </c>
      <c r="N63">
        <v>0</v>
      </c>
      <c r="O63">
        <v>84636</v>
      </c>
      <c r="P63">
        <v>0</v>
      </c>
      <c r="Q63">
        <v>84636</v>
      </c>
      <c r="R63">
        <f>YEAR(Sales_Data[[#This Row],[Order_Date]])</f>
        <v>2025</v>
      </c>
      <c r="S63" t="str">
        <f>TEXT(Sales_Data[[#This Row],[Order_Date]],"mmmm")</f>
        <v>November</v>
      </c>
      <c r="T63">
        <f t="shared" si="0"/>
        <v>11</v>
      </c>
      <c r="U63" t="str">
        <f>"Q"&amp;ROUNDUP(MONTH(Sales_Data[[#This Row],[Order_Date]])/3,0)</f>
        <v>Q4</v>
      </c>
      <c r="V63" t="s">
        <v>44</v>
      </c>
      <c r="W63" t="s">
        <v>33</v>
      </c>
      <c r="X63" t="s">
        <v>45</v>
      </c>
      <c r="Y63">
        <v>5</v>
      </c>
      <c r="Z63">
        <v>26</v>
      </c>
      <c r="AA63">
        <v>1</v>
      </c>
      <c r="AB63" t="s">
        <v>67</v>
      </c>
      <c r="AC63" t="s">
        <v>36</v>
      </c>
      <c r="AD63">
        <v>2025</v>
      </c>
    </row>
    <row r="64" spans="1:30" x14ac:dyDescent="0.45">
      <c r="A64" t="s">
        <v>214</v>
      </c>
      <c r="B64" t="s">
        <v>215</v>
      </c>
      <c r="C64" t="str">
        <f>_xlfn.XLOOKUP(Sales_Data[[#This Row],[Product_ID]],Product_Master[Product_ID],Product_Master[Product],"Not Found")</f>
        <v>uPVC Windows</v>
      </c>
      <c r="D64" s="3">
        <v>45907</v>
      </c>
      <c r="E64" t="s">
        <v>59</v>
      </c>
      <c r="F64" t="s">
        <v>26</v>
      </c>
      <c r="G64" t="s">
        <v>50</v>
      </c>
      <c r="H64" t="s">
        <v>112</v>
      </c>
      <c r="I64" t="s">
        <v>62</v>
      </c>
      <c r="J64" t="s">
        <v>63</v>
      </c>
      <c r="K64" t="s">
        <v>31</v>
      </c>
      <c r="L64">
        <v>5</v>
      </c>
      <c r="M64">
        <v>17979</v>
      </c>
      <c r="N64">
        <v>0.1</v>
      </c>
      <c r="O64">
        <v>89895</v>
      </c>
      <c r="P64">
        <v>8989.5</v>
      </c>
      <c r="Q64">
        <v>80905.5</v>
      </c>
      <c r="R64">
        <f>YEAR(Sales_Data[[#This Row],[Order_Date]])</f>
        <v>2025</v>
      </c>
      <c r="S64" t="str">
        <f>TEXT(Sales_Data[[#This Row],[Order_Date]],"mmmm")</f>
        <v>September</v>
      </c>
      <c r="T64">
        <f t="shared" si="0"/>
        <v>9</v>
      </c>
      <c r="U64" t="str">
        <f>"Q"&amp;ROUNDUP(MONTH(Sales_Data[[#This Row],[Order_Date]])/3,0)</f>
        <v>Q3</v>
      </c>
      <c r="V64" t="s">
        <v>44</v>
      </c>
      <c r="W64" t="s">
        <v>54</v>
      </c>
      <c r="X64" t="s">
        <v>45</v>
      </c>
      <c r="Y64">
        <v>5</v>
      </c>
      <c r="Z64">
        <v>16</v>
      </c>
      <c r="AA64">
        <v>4</v>
      </c>
      <c r="AB64" t="s">
        <v>89</v>
      </c>
      <c r="AC64" t="s">
        <v>90</v>
      </c>
      <c r="AD64">
        <v>2025</v>
      </c>
    </row>
    <row r="65" spans="1:30" x14ac:dyDescent="0.45">
      <c r="A65" t="s">
        <v>216</v>
      </c>
      <c r="B65" t="s">
        <v>217</v>
      </c>
      <c r="C65" t="str">
        <f>_xlfn.XLOOKUP(Sales_Data[[#This Row],[Product_ID]],Product_Master[Product_ID],Product_Master[Product],"Not Found")</f>
        <v>French Doors</v>
      </c>
      <c r="D65" s="3">
        <v>45822</v>
      </c>
      <c r="E65" t="s">
        <v>25</v>
      </c>
      <c r="F65" t="s">
        <v>70</v>
      </c>
      <c r="G65" t="s">
        <v>139</v>
      </c>
      <c r="H65" t="s">
        <v>112</v>
      </c>
      <c r="I65" t="s">
        <v>84</v>
      </c>
      <c r="J65" t="s">
        <v>85</v>
      </c>
      <c r="K65" t="s">
        <v>43</v>
      </c>
      <c r="L65">
        <v>1</v>
      </c>
      <c r="M65">
        <v>46663</v>
      </c>
      <c r="N65">
        <v>0.15</v>
      </c>
      <c r="O65">
        <v>46663</v>
      </c>
      <c r="P65">
        <v>6999.45</v>
      </c>
      <c r="Q65">
        <v>39663.550000000003</v>
      </c>
      <c r="R65">
        <f>YEAR(Sales_Data[[#This Row],[Order_Date]])</f>
        <v>2025</v>
      </c>
      <c r="S65" t="str">
        <f>TEXT(Sales_Data[[#This Row],[Order_Date]],"mmmm")</f>
        <v>June</v>
      </c>
      <c r="T65">
        <f t="shared" si="0"/>
        <v>6</v>
      </c>
      <c r="U65" t="str">
        <f>"Q"&amp;ROUNDUP(MONTH(Sales_Data[[#This Row],[Order_Date]])/3,0)</f>
        <v>Q2</v>
      </c>
      <c r="V65" t="s">
        <v>32</v>
      </c>
      <c r="W65" t="s">
        <v>33</v>
      </c>
      <c r="X65" t="s">
        <v>45</v>
      </c>
      <c r="Y65">
        <v>2</v>
      </c>
      <c r="Z65">
        <v>13</v>
      </c>
      <c r="AA65">
        <v>4</v>
      </c>
      <c r="AB65" t="s">
        <v>46</v>
      </c>
      <c r="AC65" t="s">
        <v>47</v>
      </c>
      <c r="AD65">
        <v>2025</v>
      </c>
    </row>
    <row r="66" spans="1:30" x14ac:dyDescent="0.45">
      <c r="A66" t="s">
        <v>218</v>
      </c>
      <c r="B66" t="s">
        <v>219</v>
      </c>
      <c r="C66" t="str">
        <f>_xlfn.XLOOKUP(Sales_Data[[#This Row],[Product_ID]],Product_Master[Product_ID],Product_Master[Product],"Not Found")</f>
        <v>Sliding Doors</v>
      </c>
      <c r="D66" s="3">
        <v>45956</v>
      </c>
      <c r="E66" t="s">
        <v>59</v>
      </c>
      <c r="F66" t="s">
        <v>70</v>
      </c>
      <c r="G66" t="s">
        <v>139</v>
      </c>
      <c r="H66" t="s">
        <v>88</v>
      </c>
      <c r="I66" t="s">
        <v>101</v>
      </c>
      <c r="J66" t="s">
        <v>102</v>
      </c>
      <c r="K66" t="s">
        <v>43</v>
      </c>
      <c r="L66">
        <v>6</v>
      </c>
      <c r="M66">
        <v>39828</v>
      </c>
      <c r="N66">
        <v>0.1</v>
      </c>
      <c r="O66">
        <v>238968</v>
      </c>
      <c r="P66">
        <v>23896.799999999999</v>
      </c>
      <c r="Q66">
        <v>215071.2</v>
      </c>
      <c r="R66">
        <f>YEAR(Sales_Data[[#This Row],[Order_Date]])</f>
        <v>2025</v>
      </c>
      <c r="S66" t="str">
        <f>TEXT(Sales_Data[[#This Row],[Order_Date]],"mmmm")</f>
        <v>October</v>
      </c>
      <c r="T66">
        <f t="shared" ref="T66:T129" si="1">MONTH($D66)</f>
        <v>10</v>
      </c>
      <c r="U66" t="str">
        <f>"Q"&amp;ROUNDUP(MONTH(Sales_Data[[#This Row],[Order_Date]])/3,0)</f>
        <v>Q4</v>
      </c>
      <c r="V66" t="s">
        <v>44</v>
      </c>
      <c r="W66" t="s">
        <v>33</v>
      </c>
      <c r="X66" t="s">
        <v>45</v>
      </c>
      <c r="Y66">
        <v>7</v>
      </c>
      <c r="Z66">
        <v>17</v>
      </c>
      <c r="AA66">
        <v>3</v>
      </c>
      <c r="AB66" t="s">
        <v>35</v>
      </c>
      <c r="AC66" t="s">
        <v>36</v>
      </c>
      <c r="AD66">
        <v>2025</v>
      </c>
    </row>
    <row r="67" spans="1:30" x14ac:dyDescent="0.45">
      <c r="A67" t="s">
        <v>220</v>
      </c>
      <c r="B67" t="s">
        <v>221</v>
      </c>
      <c r="C67" t="str">
        <f>_xlfn.XLOOKUP(Sales_Data[[#This Row],[Product_ID]],Product_Master[Product_ID],Product_Master[Product],"Not Found")</f>
        <v>Aluminium Windows</v>
      </c>
      <c r="D67" s="3">
        <v>45891</v>
      </c>
      <c r="E67" t="s">
        <v>59</v>
      </c>
      <c r="F67" t="s">
        <v>70</v>
      </c>
      <c r="G67" t="s">
        <v>61</v>
      </c>
      <c r="H67" t="s">
        <v>28</v>
      </c>
      <c r="I67" t="s">
        <v>52</v>
      </c>
      <c r="J67" t="s">
        <v>53</v>
      </c>
      <c r="K67" t="s">
        <v>31</v>
      </c>
      <c r="L67">
        <v>4</v>
      </c>
      <c r="M67">
        <v>23503</v>
      </c>
      <c r="N67">
        <v>0.2</v>
      </c>
      <c r="O67">
        <v>94012</v>
      </c>
      <c r="P67">
        <v>18802.400000000001</v>
      </c>
      <c r="Q67">
        <v>75209.600000000006</v>
      </c>
      <c r="R67">
        <f>YEAR(Sales_Data[[#This Row],[Order_Date]])</f>
        <v>2025</v>
      </c>
      <c r="S67" t="str">
        <f>TEXT(Sales_Data[[#This Row],[Order_Date]],"mmmm")</f>
        <v>August</v>
      </c>
      <c r="T67">
        <f t="shared" si="1"/>
        <v>8</v>
      </c>
      <c r="U67" t="str">
        <f>"Q"&amp;ROUNDUP(MONTH(Sales_Data[[#This Row],[Order_Date]])/3,0)</f>
        <v>Q3</v>
      </c>
      <c r="V67" t="s">
        <v>32</v>
      </c>
      <c r="W67" t="s">
        <v>54</v>
      </c>
      <c r="X67" t="s">
        <v>45</v>
      </c>
      <c r="Y67">
        <v>2</v>
      </c>
      <c r="Z67">
        <v>5</v>
      </c>
      <c r="AA67">
        <v>5</v>
      </c>
      <c r="AB67" t="s">
        <v>123</v>
      </c>
      <c r="AC67" t="s">
        <v>90</v>
      </c>
      <c r="AD67">
        <v>2025</v>
      </c>
    </row>
    <row r="68" spans="1:30" x14ac:dyDescent="0.45">
      <c r="A68" t="s">
        <v>222</v>
      </c>
      <c r="B68" t="s">
        <v>223</v>
      </c>
      <c r="C68" t="str">
        <f>_xlfn.XLOOKUP(Sales_Data[[#This Row],[Product_ID]],Product_Master[Product_ID],Product_Master[Product],"Not Found")</f>
        <v>Aluminium Windows</v>
      </c>
      <c r="D68" s="3">
        <v>45771</v>
      </c>
      <c r="E68" t="s">
        <v>25</v>
      </c>
      <c r="F68" t="s">
        <v>39</v>
      </c>
      <c r="G68" t="s">
        <v>50</v>
      </c>
      <c r="H68" t="s">
        <v>119</v>
      </c>
      <c r="I68" t="s">
        <v>52</v>
      </c>
      <c r="J68" t="s">
        <v>53</v>
      </c>
      <c r="K68" t="s">
        <v>31</v>
      </c>
      <c r="L68">
        <v>2</v>
      </c>
      <c r="M68">
        <v>23198</v>
      </c>
      <c r="N68">
        <v>0.15</v>
      </c>
      <c r="O68">
        <v>46396</v>
      </c>
      <c r="P68">
        <v>6959.4</v>
      </c>
      <c r="Q68">
        <v>39436.6</v>
      </c>
      <c r="R68">
        <f>YEAR(Sales_Data[[#This Row],[Order_Date]])</f>
        <v>2025</v>
      </c>
      <c r="S68" t="str">
        <f>TEXT(Sales_Data[[#This Row],[Order_Date]],"mmmm")</f>
        <v>April</v>
      </c>
      <c r="T68">
        <f t="shared" si="1"/>
        <v>4</v>
      </c>
      <c r="U68" t="str">
        <f>"Q"&amp;ROUNDUP(MONTH(Sales_Data[[#This Row],[Order_Date]])/3,0)</f>
        <v>Q2</v>
      </c>
      <c r="V68" t="s">
        <v>122</v>
      </c>
      <c r="W68" t="s">
        <v>65</v>
      </c>
      <c r="X68" t="s">
        <v>34</v>
      </c>
      <c r="Y68">
        <v>3</v>
      </c>
      <c r="Z68">
        <v>20</v>
      </c>
      <c r="AA68">
        <v>5</v>
      </c>
      <c r="AB68" t="s">
        <v>77</v>
      </c>
      <c r="AC68" t="s">
        <v>47</v>
      </c>
      <c r="AD68">
        <v>2025</v>
      </c>
    </row>
    <row r="69" spans="1:30" x14ac:dyDescent="0.45">
      <c r="A69" t="s">
        <v>224</v>
      </c>
      <c r="B69" t="s">
        <v>225</v>
      </c>
      <c r="C69" t="str">
        <f>_xlfn.XLOOKUP(Sales_Data[[#This Row],[Product_ID]],Product_Master[Product_ID],Product_Master[Product],"Not Found")</f>
        <v>Bi-Fold Doors</v>
      </c>
      <c r="D69" s="3">
        <v>45746</v>
      </c>
      <c r="E69" t="s">
        <v>59</v>
      </c>
      <c r="F69" t="s">
        <v>70</v>
      </c>
      <c r="G69" t="s">
        <v>82</v>
      </c>
      <c r="H69" t="s">
        <v>119</v>
      </c>
      <c r="I69" t="s">
        <v>41</v>
      </c>
      <c r="J69" t="s">
        <v>42</v>
      </c>
      <c r="K69" t="s">
        <v>43</v>
      </c>
      <c r="L69">
        <v>5</v>
      </c>
      <c r="M69">
        <v>53963</v>
      </c>
      <c r="N69">
        <v>0.05</v>
      </c>
      <c r="O69">
        <v>269815</v>
      </c>
      <c r="P69">
        <v>13490.75</v>
      </c>
      <c r="Q69">
        <v>256324.25</v>
      </c>
      <c r="R69">
        <f>YEAR(Sales_Data[[#This Row],[Order_Date]])</f>
        <v>2025</v>
      </c>
      <c r="S69" t="str">
        <f>TEXT(Sales_Data[[#This Row],[Order_Date]],"mmmm")</f>
        <v>March</v>
      </c>
      <c r="T69">
        <f t="shared" si="1"/>
        <v>3</v>
      </c>
      <c r="U69" t="str">
        <f>"Q"&amp;ROUNDUP(MONTH(Sales_Data[[#This Row],[Order_Date]])/3,0)</f>
        <v>Q1</v>
      </c>
      <c r="V69" t="s">
        <v>32</v>
      </c>
      <c r="W69" t="s">
        <v>33</v>
      </c>
      <c r="X69" t="s">
        <v>45</v>
      </c>
      <c r="Y69">
        <v>1</v>
      </c>
      <c r="Z69">
        <v>7</v>
      </c>
      <c r="AA69">
        <v>3</v>
      </c>
      <c r="AB69" t="s">
        <v>130</v>
      </c>
      <c r="AC69" t="s">
        <v>56</v>
      </c>
      <c r="AD69">
        <v>2025</v>
      </c>
    </row>
    <row r="70" spans="1:30" x14ac:dyDescent="0.45">
      <c r="A70" t="s">
        <v>226</v>
      </c>
      <c r="B70" t="s">
        <v>227</v>
      </c>
      <c r="C70" t="str">
        <f>_xlfn.XLOOKUP(Sales_Data[[#This Row],[Product_ID]],Product_Master[Product_ID],Product_Master[Product],"Not Found")</f>
        <v>Aluminium Windows</v>
      </c>
      <c r="D70" s="3">
        <v>45924</v>
      </c>
      <c r="E70" t="s">
        <v>25</v>
      </c>
      <c r="F70" t="s">
        <v>60</v>
      </c>
      <c r="G70" t="s">
        <v>116</v>
      </c>
      <c r="H70" t="s">
        <v>119</v>
      </c>
      <c r="I70" t="s">
        <v>52</v>
      </c>
      <c r="J70" t="s">
        <v>53</v>
      </c>
      <c r="K70" t="s">
        <v>31</v>
      </c>
      <c r="L70">
        <v>3</v>
      </c>
      <c r="M70">
        <v>20726</v>
      </c>
      <c r="N70">
        <v>0.1</v>
      </c>
      <c r="O70">
        <v>62178</v>
      </c>
      <c r="P70">
        <v>6217.8</v>
      </c>
      <c r="Q70">
        <v>55960.2</v>
      </c>
      <c r="R70">
        <f>YEAR(Sales_Data[[#This Row],[Order_Date]])</f>
        <v>2025</v>
      </c>
      <c r="S70" t="str">
        <f>TEXT(Sales_Data[[#This Row],[Order_Date]],"mmmm")</f>
        <v>September</v>
      </c>
      <c r="T70">
        <f t="shared" si="1"/>
        <v>9</v>
      </c>
      <c r="U70" t="str">
        <f>"Q"&amp;ROUNDUP(MONTH(Sales_Data[[#This Row],[Order_Date]])/3,0)</f>
        <v>Q3</v>
      </c>
      <c r="V70" t="s">
        <v>44</v>
      </c>
      <c r="W70" t="s">
        <v>54</v>
      </c>
      <c r="X70" t="s">
        <v>66</v>
      </c>
      <c r="Y70">
        <v>4</v>
      </c>
      <c r="Z70">
        <v>25</v>
      </c>
      <c r="AA70">
        <v>5</v>
      </c>
      <c r="AB70" t="s">
        <v>89</v>
      </c>
      <c r="AC70" t="s">
        <v>90</v>
      </c>
      <c r="AD70">
        <v>2025</v>
      </c>
    </row>
    <row r="71" spans="1:30" x14ac:dyDescent="0.45">
      <c r="A71" t="s">
        <v>228</v>
      </c>
      <c r="B71" t="s">
        <v>229</v>
      </c>
      <c r="C71" t="str">
        <f>_xlfn.XLOOKUP(Sales_Data[[#This Row],[Product_ID]],Product_Master[Product_ID],Product_Master[Product],"Not Found")</f>
        <v>French Doors</v>
      </c>
      <c r="D71" s="3">
        <v>45684</v>
      </c>
      <c r="E71" t="s">
        <v>25</v>
      </c>
      <c r="F71" t="s">
        <v>26</v>
      </c>
      <c r="G71" t="s">
        <v>50</v>
      </c>
      <c r="H71" t="s">
        <v>112</v>
      </c>
      <c r="I71" t="s">
        <v>84</v>
      </c>
      <c r="J71" t="s">
        <v>85</v>
      </c>
      <c r="K71" t="s">
        <v>43</v>
      </c>
      <c r="L71">
        <v>5</v>
      </c>
      <c r="M71">
        <v>46231</v>
      </c>
      <c r="N71">
        <v>0.1</v>
      </c>
      <c r="O71">
        <v>231155</v>
      </c>
      <c r="P71">
        <v>23115.5</v>
      </c>
      <c r="Q71">
        <v>208039.5</v>
      </c>
      <c r="R71">
        <f>YEAR(Sales_Data[[#This Row],[Order_Date]])</f>
        <v>2025</v>
      </c>
      <c r="S71" t="str">
        <f>TEXT(Sales_Data[[#This Row],[Order_Date]],"mmmm")</f>
        <v>January</v>
      </c>
      <c r="T71">
        <f t="shared" si="1"/>
        <v>1</v>
      </c>
      <c r="U71" t="str">
        <f>"Q"&amp;ROUNDUP(MONTH(Sales_Data[[#This Row],[Order_Date]])/3,0)</f>
        <v>Q1</v>
      </c>
      <c r="V71" t="s">
        <v>64</v>
      </c>
      <c r="W71" t="s">
        <v>33</v>
      </c>
      <c r="X71" t="s">
        <v>45</v>
      </c>
      <c r="Y71">
        <v>1</v>
      </c>
      <c r="Z71">
        <v>15</v>
      </c>
      <c r="AA71">
        <v>3</v>
      </c>
      <c r="AB71" t="s">
        <v>144</v>
      </c>
      <c r="AC71" t="s">
        <v>56</v>
      </c>
      <c r="AD71">
        <v>2025</v>
      </c>
    </row>
    <row r="72" spans="1:30" x14ac:dyDescent="0.45">
      <c r="A72" t="s">
        <v>230</v>
      </c>
      <c r="B72" t="s">
        <v>231</v>
      </c>
      <c r="C72" t="str">
        <f>_xlfn.XLOOKUP(Sales_Data[[#This Row],[Product_ID]],Product_Master[Product_ID],Product_Master[Product],"Not Found")</f>
        <v>French Doors</v>
      </c>
      <c r="D72" s="3">
        <v>45731</v>
      </c>
      <c r="E72" t="s">
        <v>59</v>
      </c>
      <c r="F72" t="s">
        <v>26</v>
      </c>
      <c r="G72" t="s">
        <v>82</v>
      </c>
      <c r="H72" t="s">
        <v>51</v>
      </c>
      <c r="I72" t="s">
        <v>84</v>
      </c>
      <c r="J72" t="s">
        <v>85</v>
      </c>
      <c r="K72" t="s">
        <v>43</v>
      </c>
      <c r="L72">
        <v>5</v>
      </c>
      <c r="M72">
        <v>39738</v>
      </c>
      <c r="N72">
        <v>0.05</v>
      </c>
      <c r="O72">
        <v>198690</v>
      </c>
      <c r="P72">
        <v>9934.5</v>
      </c>
      <c r="Q72">
        <v>188755.5</v>
      </c>
      <c r="R72">
        <f>YEAR(Sales_Data[[#This Row],[Order_Date]])</f>
        <v>2025</v>
      </c>
      <c r="S72" t="str">
        <f>TEXT(Sales_Data[[#This Row],[Order_Date]],"mmmm")</f>
        <v>March</v>
      </c>
      <c r="T72">
        <f t="shared" si="1"/>
        <v>3</v>
      </c>
      <c r="U72" t="str">
        <f>"Q"&amp;ROUNDUP(MONTH(Sales_Data[[#This Row],[Order_Date]])/3,0)</f>
        <v>Q1</v>
      </c>
      <c r="V72" t="s">
        <v>98</v>
      </c>
      <c r="W72" t="s">
        <v>33</v>
      </c>
      <c r="X72" t="s">
        <v>45</v>
      </c>
      <c r="Y72">
        <v>6</v>
      </c>
      <c r="Z72">
        <v>5</v>
      </c>
      <c r="AA72">
        <v>4</v>
      </c>
      <c r="AB72" t="s">
        <v>130</v>
      </c>
      <c r="AC72" t="s">
        <v>56</v>
      </c>
      <c r="AD72">
        <v>2025</v>
      </c>
    </row>
    <row r="73" spans="1:30" x14ac:dyDescent="0.45">
      <c r="A73" t="s">
        <v>232</v>
      </c>
      <c r="B73" t="s">
        <v>233</v>
      </c>
      <c r="C73" t="str">
        <f>_xlfn.XLOOKUP(Sales_Data[[#This Row],[Product_ID]],Product_Master[Product_ID],Product_Master[Product],"Not Found")</f>
        <v>Casement Windows</v>
      </c>
      <c r="D73" s="3">
        <v>46019</v>
      </c>
      <c r="E73" t="s">
        <v>59</v>
      </c>
      <c r="F73" t="s">
        <v>60</v>
      </c>
      <c r="G73" t="s">
        <v>50</v>
      </c>
      <c r="H73" t="s">
        <v>71</v>
      </c>
      <c r="I73" t="s">
        <v>75</v>
      </c>
      <c r="J73" t="s">
        <v>76</v>
      </c>
      <c r="K73" t="s">
        <v>31</v>
      </c>
      <c r="L73">
        <v>3</v>
      </c>
      <c r="M73">
        <v>23416</v>
      </c>
      <c r="N73">
        <v>0.1</v>
      </c>
      <c r="O73">
        <v>70248</v>
      </c>
      <c r="P73">
        <v>7024.8</v>
      </c>
      <c r="Q73">
        <v>63223.199999999997</v>
      </c>
      <c r="R73">
        <f>YEAR(Sales_Data[[#This Row],[Order_Date]])</f>
        <v>2025</v>
      </c>
      <c r="S73" t="str">
        <f>TEXT(Sales_Data[[#This Row],[Order_Date]],"mmmm")</f>
        <v>December</v>
      </c>
      <c r="T73">
        <f t="shared" si="1"/>
        <v>12</v>
      </c>
      <c r="U73" t="str">
        <f>"Q"&amp;ROUNDUP(MONTH(Sales_Data[[#This Row],[Order_Date]])/3,0)</f>
        <v>Q4</v>
      </c>
      <c r="V73" t="s">
        <v>64</v>
      </c>
      <c r="W73" t="s">
        <v>65</v>
      </c>
      <c r="X73" t="s">
        <v>45</v>
      </c>
      <c r="Y73">
        <v>1</v>
      </c>
      <c r="Z73">
        <v>14</v>
      </c>
      <c r="AA73">
        <v>5</v>
      </c>
      <c r="AB73" t="s">
        <v>113</v>
      </c>
      <c r="AC73" t="s">
        <v>36</v>
      </c>
      <c r="AD73">
        <v>2025</v>
      </c>
    </row>
    <row r="74" spans="1:30" x14ac:dyDescent="0.45">
      <c r="A74" t="s">
        <v>234</v>
      </c>
      <c r="B74" t="s">
        <v>235</v>
      </c>
      <c r="C74" t="str">
        <f>_xlfn.XLOOKUP(Sales_Data[[#This Row],[Product_ID]],Product_Master[Product_ID],Product_Master[Product],"Not Found")</f>
        <v>Casement Windows</v>
      </c>
      <c r="D74" s="3">
        <v>45911</v>
      </c>
      <c r="E74" t="s">
        <v>59</v>
      </c>
      <c r="F74" t="s">
        <v>26</v>
      </c>
      <c r="G74" t="s">
        <v>40</v>
      </c>
      <c r="H74" t="s">
        <v>51</v>
      </c>
      <c r="I74" t="s">
        <v>75</v>
      </c>
      <c r="J74" t="s">
        <v>76</v>
      </c>
      <c r="K74" t="s">
        <v>31</v>
      </c>
      <c r="L74">
        <v>1</v>
      </c>
      <c r="M74">
        <v>29820</v>
      </c>
      <c r="N74">
        <v>0</v>
      </c>
      <c r="O74">
        <v>29820</v>
      </c>
      <c r="P74">
        <v>0</v>
      </c>
      <c r="Q74">
        <v>29820</v>
      </c>
      <c r="R74">
        <f>YEAR(Sales_Data[[#This Row],[Order_Date]])</f>
        <v>2025</v>
      </c>
      <c r="S74" t="str">
        <f>TEXT(Sales_Data[[#This Row],[Order_Date]],"mmmm")</f>
        <v>September</v>
      </c>
      <c r="T74">
        <f t="shared" si="1"/>
        <v>9</v>
      </c>
      <c r="U74" t="str">
        <f>"Q"&amp;ROUNDUP(MONTH(Sales_Data[[#This Row],[Order_Date]])/3,0)</f>
        <v>Q3</v>
      </c>
      <c r="V74" t="s">
        <v>32</v>
      </c>
      <c r="W74" t="s">
        <v>65</v>
      </c>
      <c r="X74" t="s">
        <v>34</v>
      </c>
      <c r="Y74">
        <v>7</v>
      </c>
      <c r="Z74">
        <v>28</v>
      </c>
      <c r="AA74">
        <v>3</v>
      </c>
      <c r="AB74" t="s">
        <v>89</v>
      </c>
      <c r="AC74" t="s">
        <v>90</v>
      </c>
      <c r="AD74">
        <v>2025</v>
      </c>
    </row>
    <row r="75" spans="1:30" x14ac:dyDescent="0.45">
      <c r="A75" t="s">
        <v>236</v>
      </c>
      <c r="B75" t="s">
        <v>237</v>
      </c>
      <c r="C75" t="str">
        <f>_xlfn.XLOOKUP(Sales_Data[[#This Row],[Product_ID]],Product_Master[Product_ID],Product_Master[Product],"Not Found")</f>
        <v>Sliding Doors</v>
      </c>
      <c r="D75" s="3">
        <v>45725</v>
      </c>
      <c r="E75" t="s">
        <v>59</v>
      </c>
      <c r="F75" t="s">
        <v>60</v>
      </c>
      <c r="G75" t="s">
        <v>50</v>
      </c>
      <c r="H75" t="s">
        <v>28</v>
      </c>
      <c r="I75" t="s">
        <v>101</v>
      </c>
      <c r="J75" t="s">
        <v>102</v>
      </c>
      <c r="K75" t="s">
        <v>43</v>
      </c>
      <c r="L75">
        <v>2</v>
      </c>
      <c r="M75">
        <v>34450</v>
      </c>
      <c r="N75">
        <v>0.15</v>
      </c>
      <c r="O75">
        <v>68900</v>
      </c>
      <c r="P75">
        <v>10335</v>
      </c>
      <c r="Q75">
        <v>58565</v>
      </c>
      <c r="R75">
        <f>YEAR(Sales_Data[[#This Row],[Order_Date]])</f>
        <v>2025</v>
      </c>
      <c r="S75" t="str">
        <f>TEXT(Sales_Data[[#This Row],[Order_Date]],"mmmm")</f>
        <v>March</v>
      </c>
      <c r="T75">
        <f t="shared" si="1"/>
        <v>3</v>
      </c>
      <c r="U75" t="str">
        <f>"Q"&amp;ROUNDUP(MONTH(Sales_Data[[#This Row],[Order_Date]])/3,0)</f>
        <v>Q1</v>
      </c>
      <c r="V75" t="s">
        <v>98</v>
      </c>
      <c r="W75" t="s">
        <v>33</v>
      </c>
      <c r="X75" t="s">
        <v>45</v>
      </c>
      <c r="Y75">
        <v>3</v>
      </c>
      <c r="Z75">
        <v>10</v>
      </c>
      <c r="AA75">
        <v>4</v>
      </c>
      <c r="AB75" t="s">
        <v>130</v>
      </c>
      <c r="AC75" t="s">
        <v>56</v>
      </c>
      <c r="AD75">
        <v>2025</v>
      </c>
    </row>
    <row r="76" spans="1:30" x14ac:dyDescent="0.45">
      <c r="A76" t="s">
        <v>238</v>
      </c>
      <c r="B76" t="s">
        <v>239</v>
      </c>
      <c r="C76" t="str">
        <f>_xlfn.XLOOKUP(Sales_Data[[#This Row],[Product_ID]],Product_Master[Product_ID],Product_Master[Product],"Not Found")</f>
        <v>Bi-Fold Doors</v>
      </c>
      <c r="D76" s="3">
        <v>45787</v>
      </c>
      <c r="E76" t="s">
        <v>25</v>
      </c>
      <c r="F76" t="s">
        <v>70</v>
      </c>
      <c r="G76" t="s">
        <v>27</v>
      </c>
      <c r="H76" t="s">
        <v>83</v>
      </c>
      <c r="I76" t="s">
        <v>41</v>
      </c>
      <c r="J76" t="s">
        <v>42</v>
      </c>
      <c r="K76" t="s">
        <v>43</v>
      </c>
      <c r="L76">
        <v>4</v>
      </c>
      <c r="M76">
        <v>58600</v>
      </c>
      <c r="N76">
        <v>0.1</v>
      </c>
      <c r="O76">
        <v>234400</v>
      </c>
      <c r="P76">
        <v>23440</v>
      </c>
      <c r="Q76">
        <v>210960</v>
      </c>
      <c r="R76">
        <f>YEAR(Sales_Data[[#This Row],[Order_Date]])</f>
        <v>2025</v>
      </c>
      <c r="S76" t="str">
        <f>TEXT(Sales_Data[[#This Row],[Order_Date]],"mmmm")</f>
        <v>May</v>
      </c>
      <c r="T76">
        <f t="shared" si="1"/>
        <v>5</v>
      </c>
      <c r="U76" t="str">
        <f>"Q"&amp;ROUNDUP(MONTH(Sales_Data[[#This Row],[Order_Date]])/3,0)</f>
        <v>Q2</v>
      </c>
      <c r="V76" t="s">
        <v>32</v>
      </c>
      <c r="W76" t="s">
        <v>33</v>
      </c>
      <c r="X76" t="s">
        <v>93</v>
      </c>
      <c r="Y76">
        <v>5</v>
      </c>
      <c r="Z76">
        <v>19</v>
      </c>
      <c r="AA76">
        <v>3</v>
      </c>
      <c r="AB76" t="s">
        <v>72</v>
      </c>
      <c r="AC76" t="s">
        <v>47</v>
      </c>
      <c r="AD76">
        <v>2025</v>
      </c>
    </row>
    <row r="77" spans="1:30" x14ac:dyDescent="0.45">
      <c r="A77" t="s">
        <v>240</v>
      </c>
      <c r="B77" t="s">
        <v>241</v>
      </c>
      <c r="C77" t="str">
        <f>_xlfn.XLOOKUP(Sales_Data[[#This Row],[Product_ID]],Product_Master[Product_ID],Product_Master[Product],"Not Found")</f>
        <v>Soundproof Windows</v>
      </c>
      <c r="D77" s="3">
        <v>45763</v>
      </c>
      <c r="E77" t="s">
        <v>25</v>
      </c>
      <c r="F77" t="s">
        <v>39</v>
      </c>
      <c r="G77" t="s">
        <v>61</v>
      </c>
      <c r="H77" t="s">
        <v>83</v>
      </c>
      <c r="I77" t="s">
        <v>29</v>
      </c>
      <c r="J77" t="s">
        <v>30</v>
      </c>
      <c r="K77" t="s">
        <v>31</v>
      </c>
      <c r="L77">
        <v>6</v>
      </c>
      <c r="M77">
        <v>48272</v>
      </c>
      <c r="N77">
        <v>0.15</v>
      </c>
      <c r="O77">
        <v>289632</v>
      </c>
      <c r="P77">
        <v>43444.800000000003</v>
      </c>
      <c r="Q77">
        <v>246187.2</v>
      </c>
      <c r="R77">
        <f>YEAR(Sales_Data[[#This Row],[Order_Date]])</f>
        <v>2025</v>
      </c>
      <c r="S77" t="str">
        <f>TEXT(Sales_Data[[#This Row],[Order_Date]],"mmmm")</f>
        <v>April</v>
      </c>
      <c r="T77">
        <f t="shared" si="1"/>
        <v>4</v>
      </c>
      <c r="U77" t="str">
        <f>"Q"&amp;ROUNDUP(MONTH(Sales_Data[[#This Row],[Order_Date]])/3,0)</f>
        <v>Q2</v>
      </c>
      <c r="V77" t="s">
        <v>122</v>
      </c>
      <c r="W77" t="s">
        <v>33</v>
      </c>
      <c r="X77" t="s">
        <v>45</v>
      </c>
      <c r="Y77">
        <v>7</v>
      </c>
      <c r="Z77">
        <v>23</v>
      </c>
      <c r="AA77">
        <v>3</v>
      </c>
      <c r="AB77" t="s">
        <v>77</v>
      </c>
      <c r="AC77" t="s">
        <v>47</v>
      </c>
      <c r="AD77">
        <v>2025</v>
      </c>
    </row>
    <row r="78" spans="1:30" x14ac:dyDescent="0.45">
      <c r="A78" t="s">
        <v>242</v>
      </c>
      <c r="B78" t="s">
        <v>243</v>
      </c>
      <c r="C78" t="str">
        <f>_xlfn.XLOOKUP(Sales_Data[[#This Row],[Product_ID]],Product_Master[Product_ID],Product_Master[Product],"Not Found")</f>
        <v>Casement Windows</v>
      </c>
      <c r="D78" s="3">
        <v>46017</v>
      </c>
      <c r="E78" t="s">
        <v>25</v>
      </c>
      <c r="F78" t="s">
        <v>60</v>
      </c>
      <c r="G78" t="s">
        <v>27</v>
      </c>
      <c r="H78" t="s">
        <v>51</v>
      </c>
      <c r="I78" t="s">
        <v>75</v>
      </c>
      <c r="J78" t="s">
        <v>76</v>
      </c>
      <c r="K78" t="s">
        <v>31</v>
      </c>
      <c r="L78">
        <v>4</v>
      </c>
      <c r="M78">
        <v>24983</v>
      </c>
      <c r="N78">
        <v>0.1</v>
      </c>
      <c r="O78">
        <v>99932</v>
      </c>
      <c r="P78">
        <v>9993.2000000000007</v>
      </c>
      <c r="Q78">
        <v>89938.8</v>
      </c>
      <c r="R78">
        <f>YEAR(Sales_Data[[#This Row],[Order_Date]])</f>
        <v>2025</v>
      </c>
      <c r="S78" t="str">
        <f>TEXT(Sales_Data[[#This Row],[Order_Date]],"mmmm")</f>
        <v>December</v>
      </c>
      <c r="T78">
        <f t="shared" si="1"/>
        <v>12</v>
      </c>
      <c r="U78" t="str">
        <f>"Q"&amp;ROUNDUP(MONTH(Sales_Data[[#This Row],[Order_Date]])/3,0)</f>
        <v>Q4</v>
      </c>
      <c r="V78" t="s">
        <v>64</v>
      </c>
      <c r="W78" t="s">
        <v>54</v>
      </c>
      <c r="X78" t="s">
        <v>34</v>
      </c>
      <c r="Y78">
        <v>4</v>
      </c>
      <c r="Z78">
        <v>10</v>
      </c>
      <c r="AA78">
        <v>3</v>
      </c>
      <c r="AB78" t="s">
        <v>113</v>
      </c>
      <c r="AC78" t="s">
        <v>36</v>
      </c>
      <c r="AD78">
        <v>2025</v>
      </c>
    </row>
    <row r="79" spans="1:30" x14ac:dyDescent="0.45">
      <c r="A79" t="s">
        <v>244</v>
      </c>
      <c r="B79" t="s">
        <v>245</v>
      </c>
      <c r="C79" t="str">
        <f>_xlfn.XLOOKUP(Sales_Data[[#This Row],[Product_ID]],Product_Master[Product_ID],Product_Master[Product],"Not Found")</f>
        <v>Casement Windows</v>
      </c>
      <c r="D79" s="3">
        <v>45799</v>
      </c>
      <c r="E79" t="s">
        <v>25</v>
      </c>
      <c r="F79" t="s">
        <v>39</v>
      </c>
      <c r="G79" t="s">
        <v>82</v>
      </c>
      <c r="H79" t="s">
        <v>51</v>
      </c>
      <c r="I79" t="s">
        <v>75</v>
      </c>
      <c r="J79" t="s">
        <v>76</v>
      </c>
      <c r="K79" t="s">
        <v>31</v>
      </c>
      <c r="L79">
        <v>4</v>
      </c>
      <c r="M79">
        <v>25370</v>
      </c>
      <c r="N79">
        <v>0.05</v>
      </c>
      <c r="O79">
        <v>101480</v>
      </c>
      <c r="P79">
        <v>5074</v>
      </c>
      <c r="Q79">
        <v>96406</v>
      </c>
      <c r="R79">
        <f>YEAR(Sales_Data[[#This Row],[Order_Date]])</f>
        <v>2025</v>
      </c>
      <c r="S79" t="str">
        <f>TEXT(Sales_Data[[#This Row],[Order_Date]],"mmmm")</f>
        <v>May</v>
      </c>
      <c r="T79">
        <f t="shared" si="1"/>
        <v>5</v>
      </c>
      <c r="U79" t="str">
        <f>"Q"&amp;ROUNDUP(MONTH(Sales_Data[[#This Row],[Order_Date]])/3,0)</f>
        <v>Q2</v>
      </c>
      <c r="V79" t="s">
        <v>122</v>
      </c>
      <c r="W79" t="s">
        <v>33</v>
      </c>
      <c r="X79" t="s">
        <v>45</v>
      </c>
      <c r="Y79">
        <v>4</v>
      </c>
      <c r="Z79">
        <v>27</v>
      </c>
      <c r="AA79">
        <v>5</v>
      </c>
      <c r="AB79" t="s">
        <v>72</v>
      </c>
      <c r="AC79" t="s">
        <v>47</v>
      </c>
      <c r="AD79">
        <v>2025</v>
      </c>
    </row>
    <row r="80" spans="1:30" x14ac:dyDescent="0.45">
      <c r="A80" t="s">
        <v>246</v>
      </c>
      <c r="B80" t="s">
        <v>247</v>
      </c>
      <c r="C80" t="str">
        <f>_xlfn.XLOOKUP(Sales_Data[[#This Row],[Product_ID]],Product_Master[Product_ID],Product_Master[Product],"Not Found")</f>
        <v>Soundproof Windows</v>
      </c>
      <c r="D80" s="3">
        <v>45815</v>
      </c>
      <c r="E80" t="s">
        <v>25</v>
      </c>
      <c r="F80" t="s">
        <v>60</v>
      </c>
      <c r="G80" t="s">
        <v>116</v>
      </c>
      <c r="H80" t="s">
        <v>88</v>
      </c>
      <c r="I80" t="s">
        <v>29</v>
      </c>
      <c r="J80" t="s">
        <v>30</v>
      </c>
      <c r="K80" t="s">
        <v>31</v>
      </c>
      <c r="L80">
        <v>6</v>
      </c>
      <c r="M80">
        <v>52871</v>
      </c>
      <c r="N80">
        <v>0.15</v>
      </c>
      <c r="O80">
        <v>317226</v>
      </c>
      <c r="P80">
        <v>47583.9</v>
      </c>
      <c r="Q80">
        <v>269642.09999999998</v>
      </c>
      <c r="R80">
        <f>YEAR(Sales_Data[[#This Row],[Order_Date]])</f>
        <v>2025</v>
      </c>
      <c r="S80" t="str">
        <f>TEXT(Sales_Data[[#This Row],[Order_Date]],"mmmm")</f>
        <v>June</v>
      </c>
      <c r="T80">
        <f t="shared" si="1"/>
        <v>6</v>
      </c>
      <c r="U80" t="str">
        <f>"Q"&amp;ROUNDUP(MONTH(Sales_Data[[#This Row],[Order_Date]])/3,0)</f>
        <v>Q2</v>
      </c>
      <c r="V80" t="s">
        <v>32</v>
      </c>
      <c r="W80" t="s">
        <v>33</v>
      </c>
      <c r="X80" t="s">
        <v>34</v>
      </c>
      <c r="Y80">
        <v>2</v>
      </c>
      <c r="Z80">
        <v>18</v>
      </c>
      <c r="AA80">
        <v>5</v>
      </c>
      <c r="AB80" t="s">
        <v>46</v>
      </c>
      <c r="AC80" t="s">
        <v>47</v>
      </c>
      <c r="AD80">
        <v>2025</v>
      </c>
    </row>
    <row r="81" spans="1:30" x14ac:dyDescent="0.45">
      <c r="A81" t="s">
        <v>248</v>
      </c>
      <c r="B81" t="s">
        <v>249</v>
      </c>
      <c r="C81" t="str">
        <f>_xlfn.XLOOKUP(Sales_Data[[#This Row],[Product_ID]],Product_Master[Product_ID],Product_Master[Product],"Not Found")</f>
        <v>Aluminium Windows</v>
      </c>
      <c r="D81" s="3">
        <v>45924</v>
      </c>
      <c r="E81" t="s">
        <v>59</v>
      </c>
      <c r="F81" t="s">
        <v>70</v>
      </c>
      <c r="G81" t="s">
        <v>40</v>
      </c>
      <c r="H81" t="s">
        <v>71</v>
      </c>
      <c r="I81" t="s">
        <v>52</v>
      </c>
      <c r="J81" t="s">
        <v>53</v>
      </c>
      <c r="K81" t="s">
        <v>31</v>
      </c>
      <c r="L81">
        <v>2</v>
      </c>
      <c r="M81">
        <v>20117</v>
      </c>
      <c r="N81">
        <v>0.1</v>
      </c>
      <c r="O81">
        <v>40234</v>
      </c>
      <c r="P81">
        <v>4023.4</v>
      </c>
      <c r="Q81">
        <v>36210.6</v>
      </c>
      <c r="R81">
        <f>YEAR(Sales_Data[[#This Row],[Order_Date]])</f>
        <v>2025</v>
      </c>
      <c r="S81" t="str">
        <f>TEXT(Sales_Data[[#This Row],[Order_Date]],"mmmm")</f>
        <v>September</v>
      </c>
      <c r="T81">
        <f t="shared" si="1"/>
        <v>9</v>
      </c>
      <c r="U81" t="str">
        <f>"Q"&amp;ROUNDUP(MONTH(Sales_Data[[#This Row],[Order_Date]])/3,0)</f>
        <v>Q3</v>
      </c>
      <c r="V81" t="s">
        <v>32</v>
      </c>
      <c r="W81" t="s">
        <v>33</v>
      </c>
      <c r="X81" t="s">
        <v>45</v>
      </c>
      <c r="Y81">
        <v>3</v>
      </c>
      <c r="Z81">
        <v>11</v>
      </c>
      <c r="AA81">
        <v>5</v>
      </c>
      <c r="AB81" t="s">
        <v>89</v>
      </c>
      <c r="AC81" t="s">
        <v>90</v>
      </c>
      <c r="AD81">
        <v>2025</v>
      </c>
    </row>
    <row r="82" spans="1:30" x14ac:dyDescent="0.45">
      <c r="A82" t="s">
        <v>250</v>
      </c>
      <c r="B82" t="s">
        <v>251</v>
      </c>
      <c r="C82" t="str">
        <f>_xlfn.XLOOKUP(Sales_Data[[#This Row],[Product_ID]],Product_Master[Product_ID],Product_Master[Product],"Not Found")</f>
        <v>French Doors</v>
      </c>
      <c r="D82" s="3">
        <v>45754</v>
      </c>
      <c r="E82" t="s">
        <v>59</v>
      </c>
      <c r="F82" t="s">
        <v>70</v>
      </c>
      <c r="G82" t="s">
        <v>50</v>
      </c>
      <c r="H82" t="s">
        <v>83</v>
      </c>
      <c r="I82" t="s">
        <v>84</v>
      </c>
      <c r="J82" t="s">
        <v>85</v>
      </c>
      <c r="K82" t="s">
        <v>43</v>
      </c>
      <c r="L82">
        <v>4</v>
      </c>
      <c r="M82">
        <v>44448</v>
      </c>
      <c r="N82">
        <v>0.05</v>
      </c>
      <c r="O82">
        <v>177792</v>
      </c>
      <c r="P82">
        <v>8889.6</v>
      </c>
      <c r="Q82">
        <v>168902.39999999999</v>
      </c>
      <c r="R82">
        <f>YEAR(Sales_Data[[#This Row],[Order_Date]])</f>
        <v>2025</v>
      </c>
      <c r="S82" t="str">
        <f>TEXT(Sales_Data[[#This Row],[Order_Date]],"mmmm")</f>
        <v>April</v>
      </c>
      <c r="T82">
        <f t="shared" si="1"/>
        <v>4</v>
      </c>
      <c r="U82" t="str">
        <f>"Q"&amp;ROUNDUP(MONTH(Sales_Data[[#This Row],[Order_Date]])/3,0)</f>
        <v>Q2</v>
      </c>
      <c r="V82" t="s">
        <v>32</v>
      </c>
      <c r="W82" t="s">
        <v>65</v>
      </c>
      <c r="X82" t="s">
        <v>66</v>
      </c>
      <c r="Y82">
        <v>2</v>
      </c>
      <c r="Z82">
        <v>9</v>
      </c>
      <c r="AA82">
        <v>5</v>
      </c>
      <c r="AB82" t="s">
        <v>77</v>
      </c>
      <c r="AC82" t="s">
        <v>47</v>
      </c>
      <c r="AD82">
        <v>2025</v>
      </c>
    </row>
    <row r="83" spans="1:30" x14ac:dyDescent="0.45">
      <c r="A83" t="s">
        <v>252</v>
      </c>
      <c r="B83" t="s">
        <v>253</v>
      </c>
      <c r="C83" t="str">
        <f>_xlfn.XLOOKUP(Sales_Data[[#This Row],[Product_ID]],Product_Master[Product_ID],Product_Master[Product],"Not Found")</f>
        <v>Bi-Fold Doors</v>
      </c>
      <c r="D83" s="3">
        <v>45913</v>
      </c>
      <c r="E83" t="s">
        <v>25</v>
      </c>
      <c r="F83" t="s">
        <v>60</v>
      </c>
      <c r="G83" t="s">
        <v>139</v>
      </c>
      <c r="H83" t="s">
        <v>28</v>
      </c>
      <c r="I83" t="s">
        <v>41</v>
      </c>
      <c r="J83" t="s">
        <v>42</v>
      </c>
      <c r="K83" t="s">
        <v>43</v>
      </c>
      <c r="L83">
        <v>5</v>
      </c>
      <c r="M83">
        <v>54370</v>
      </c>
      <c r="N83">
        <v>0.1</v>
      </c>
      <c r="O83">
        <v>271850</v>
      </c>
      <c r="P83">
        <v>27185</v>
      </c>
      <c r="Q83">
        <v>244665</v>
      </c>
      <c r="R83">
        <f>YEAR(Sales_Data[[#This Row],[Order_Date]])</f>
        <v>2025</v>
      </c>
      <c r="S83" t="str">
        <f>TEXT(Sales_Data[[#This Row],[Order_Date]],"mmmm")</f>
        <v>September</v>
      </c>
      <c r="T83">
        <f t="shared" si="1"/>
        <v>9</v>
      </c>
      <c r="U83" t="str">
        <f>"Q"&amp;ROUNDUP(MONTH(Sales_Data[[#This Row],[Order_Date]])/3,0)</f>
        <v>Q3</v>
      </c>
      <c r="V83" t="s">
        <v>32</v>
      </c>
      <c r="W83" t="s">
        <v>54</v>
      </c>
      <c r="X83" t="s">
        <v>45</v>
      </c>
      <c r="Y83">
        <v>6</v>
      </c>
      <c r="Z83">
        <v>25</v>
      </c>
      <c r="AA83">
        <v>1</v>
      </c>
      <c r="AB83" t="s">
        <v>89</v>
      </c>
      <c r="AC83" t="s">
        <v>90</v>
      </c>
      <c r="AD83">
        <v>2025</v>
      </c>
    </row>
    <row r="84" spans="1:30" x14ac:dyDescent="0.45">
      <c r="A84" t="s">
        <v>254</v>
      </c>
      <c r="B84" t="s">
        <v>255</v>
      </c>
      <c r="C84" t="str">
        <f>_xlfn.XLOOKUP(Sales_Data[[#This Row],[Product_ID]],Product_Master[Product_ID],Product_Master[Product],"Not Found")</f>
        <v>uPVC Doors</v>
      </c>
      <c r="D84" s="3">
        <v>45806</v>
      </c>
      <c r="E84" t="s">
        <v>59</v>
      </c>
      <c r="F84" t="s">
        <v>39</v>
      </c>
      <c r="G84" t="s">
        <v>82</v>
      </c>
      <c r="H84" t="s">
        <v>28</v>
      </c>
      <c r="I84" t="s">
        <v>107</v>
      </c>
      <c r="J84" t="s">
        <v>108</v>
      </c>
      <c r="K84" t="s">
        <v>43</v>
      </c>
      <c r="L84">
        <v>2</v>
      </c>
      <c r="M84">
        <v>32107</v>
      </c>
      <c r="N84">
        <v>0.05</v>
      </c>
      <c r="O84">
        <v>64214</v>
      </c>
      <c r="P84">
        <v>3210.7</v>
      </c>
      <c r="Q84">
        <v>61003.3</v>
      </c>
      <c r="R84">
        <f>YEAR(Sales_Data[[#This Row],[Order_Date]])</f>
        <v>2025</v>
      </c>
      <c r="S84" t="str">
        <f>TEXT(Sales_Data[[#This Row],[Order_Date]],"mmmm")</f>
        <v>May</v>
      </c>
      <c r="T84">
        <f t="shared" si="1"/>
        <v>5</v>
      </c>
      <c r="U84" t="str">
        <f>"Q"&amp;ROUNDUP(MONTH(Sales_Data[[#This Row],[Order_Date]])/3,0)</f>
        <v>Q2</v>
      </c>
      <c r="V84" t="s">
        <v>98</v>
      </c>
      <c r="W84" t="s">
        <v>65</v>
      </c>
      <c r="X84" t="s">
        <v>45</v>
      </c>
      <c r="Y84">
        <v>5</v>
      </c>
      <c r="Z84">
        <v>17</v>
      </c>
      <c r="AA84">
        <v>2</v>
      </c>
      <c r="AB84" t="s">
        <v>72</v>
      </c>
      <c r="AC84" t="s">
        <v>47</v>
      </c>
      <c r="AD84">
        <v>2025</v>
      </c>
    </row>
    <row r="85" spans="1:30" x14ac:dyDescent="0.45">
      <c r="A85" t="s">
        <v>256</v>
      </c>
      <c r="B85" t="s">
        <v>257</v>
      </c>
      <c r="C85" t="str">
        <f>_xlfn.XLOOKUP(Sales_Data[[#This Row],[Product_ID]],Product_Master[Product_ID],Product_Master[Product],"Not Found")</f>
        <v>Casement Windows</v>
      </c>
      <c r="D85" s="3">
        <v>45699</v>
      </c>
      <c r="E85" t="s">
        <v>25</v>
      </c>
      <c r="F85" t="s">
        <v>39</v>
      </c>
      <c r="G85" t="s">
        <v>61</v>
      </c>
      <c r="H85" t="s">
        <v>71</v>
      </c>
      <c r="I85" t="s">
        <v>75</v>
      </c>
      <c r="J85" t="s">
        <v>76</v>
      </c>
      <c r="K85" t="s">
        <v>31</v>
      </c>
      <c r="L85">
        <v>5</v>
      </c>
      <c r="M85">
        <v>29615</v>
      </c>
      <c r="N85">
        <v>0</v>
      </c>
      <c r="O85">
        <v>148075</v>
      </c>
      <c r="P85">
        <v>0</v>
      </c>
      <c r="Q85">
        <v>148075</v>
      </c>
      <c r="R85">
        <f>YEAR(Sales_Data[[#This Row],[Order_Date]])</f>
        <v>2025</v>
      </c>
      <c r="S85" t="str">
        <f>TEXT(Sales_Data[[#This Row],[Order_Date]],"mmmm")</f>
        <v>February</v>
      </c>
      <c r="T85">
        <f t="shared" si="1"/>
        <v>2</v>
      </c>
      <c r="U85" t="str">
        <f>"Q"&amp;ROUNDUP(MONTH(Sales_Data[[#This Row],[Order_Date]])/3,0)</f>
        <v>Q1</v>
      </c>
      <c r="V85" t="s">
        <v>122</v>
      </c>
      <c r="W85" t="s">
        <v>54</v>
      </c>
      <c r="X85" t="s">
        <v>45</v>
      </c>
      <c r="Y85">
        <v>1</v>
      </c>
      <c r="Z85">
        <v>14</v>
      </c>
      <c r="AA85">
        <v>5</v>
      </c>
      <c r="AB85" t="s">
        <v>55</v>
      </c>
      <c r="AC85" t="s">
        <v>56</v>
      </c>
      <c r="AD85">
        <v>2025</v>
      </c>
    </row>
    <row r="86" spans="1:30" x14ac:dyDescent="0.45">
      <c r="A86" t="s">
        <v>258</v>
      </c>
      <c r="B86" t="s">
        <v>259</v>
      </c>
      <c r="C86" t="str">
        <f>_xlfn.XLOOKUP(Sales_Data[[#This Row],[Product_ID]],Product_Master[Product_ID],Product_Master[Product],"Not Found")</f>
        <v>Soundproof Windows</v>
      </c>
      <c r="D86" s="3">
        <v>45877</v>
      </c>
      <c r="E86" t="s">
        <v>59</v>
      </c>
      <c r="F86" t="s">
        <v>39</v>
      </c>
      <c r="G86" t="s">
        <v>111</v>
      </c>
      <c r="H86" t="s">
        <v>88</v>
      </c>
      <c r="I86" t="s">
        <v>29</v>
      </c>
      <c r="J86" t="s">
        <v>30</v>
      </c>
      <c r="K86" t="s">
        <v>31</v>
      </c>
      <c r="L86">
        <v>1</v>
      </c>
      <c r="M86">
        <v>46745</v>
      </c>
      <c r="N86">
        <v>0.15</v>
      </c>
      <c r="O86">
        <v>46745</v>
      </c>
      <c r="P86">
        <v>7011.75</v>
      </c>
      <c r="Q86">
        <v>39733.25</v>
      </c>
      <c r="R86">
        <f>YEAR(Sales_Data[[#This Row],[Order_Date]])</f>
        <v>2025</v>
      </c>
      <c r="S86" t="str">
        <f>TEXT(Sales_Data[[#This Row],[Order_Date]],"mmmm")</f>
        <v>August</v>
      </c>
      <c r="T86">
        <f t="shared" si="1"/>
        <v>8</v>
      </c>
      <c r="U86" t="str">
        <f>"Q"&amp;ROUNDUP(MONTH(Sales_Data[[#This Row],[Order_Date]])/3,0)</f>
        <v>Q3</v>
      </c>
      <c r="V86" t="s">
        <v>32</v>
      </c>
      <c r="W86" t="s">
        <v>33</v>
      </c>
      <c r="X86" t="s">
        <v>34</v>
      </c>
      <c r="Y86">
        <v>6</v>
      </c>
      <c r="Z86">
        <v>13</v>
      </c>
      <c r="AA86">
        <v>5</v>
      </c>
      <c r="AB86" t="s">
        <v>123</v>
      </c>
      <c r="AC86" t="s">
        <v>90</v>
      </c>
      <c r="AD86">
        <v>2025</v>
      </c>
    </row>
    <row r="87" spans="1:30" x14ac:dyDescent="0.45">
      <c r="A87" t="s">
        <v>260</v>
      </c>
      <c r="B87" t="s">
        <v>261</v>
      </c>
      <c r="C87" t="str">
        <f>_xlfn.XLOOKUP(Sales_Data[[#This Row],[Product_ID]],Product_Master[Product_ID],Product_Master[Product],"Not Found")</f>
        <v>uPVC Doors</v>
      </c>
      <c r="D87" s="3">
        <v>45930</v>
      </c>
      <c r="E87" t="s">
        <v>59</v>
      </c>
      <c r="F87" t="s">
        <v>60</v>
      </c>
      <c r="G87" t="s">
        <v>50</v>
      </c>
      <c r="H87" t="s">
        <v>51</v>
      </c>
      <c r="I87" t="s">
        <v>107</v>
      </c>
      <c r="J87" t="s">
        <v>108</v>
      </c>
      <c r="K87" t="s">
        <v>43</v>
      </c>
      <c r="L87">
        <v>2</v>
      </c>
      <c r="M87">
        <v>28684</v>
      </c>
      <c r="N87">
        <v>0.05</v>
      </c>
      <c r="O87">
        <v>57368</v>
      </c>
      <c r="P87">
        <v>2868.4</v>
      </c>
      <c r="Q87">
        <v>54499.6</v>
      </c>
      <c r="R87">
        <f>YEAR(Sales_Data[[#This Row],[Order_Date]])</f>
        <v>2025</v>
      </c>
      <c r="S87" t="str">
        <f>TEXT(Sales_Data[[#This Row],[Order_Date]],"mmmm")</f>
        <v>September</v>
      </c>
      <c r="T87">
        <f t="shared" si="1"/>
        <v>9</v>
      </c>
      <c r="U87" t="str">
        <f>"Q"&amp;ROUNDUP(MONTH(Sales_Data[[#This Row],[Order_Date]])/3,0)</f>
        <v>Q3</v>
      </c>
      <c r="V87" t="s">
        <v>44</v>
      </c>
      <c r="W87" t="s">
        <v>54</v>
      </c>
      <c r="X87" t="s">
        <v>45</v>
      </c>
      <c r="Y87">
        <v>5</v>
      </c>
      <c r="Z87">
        <v>16</v>
      </c>
      <c r="AA87">
        <v>3</v>
      </c>
      <c r="AB87" t="s">
        <v>89</v>
      </c>
      <c r="AC87" t="s">
        <v>90</v>
      </c>
      <c r="AD87">
        <v>2025</v>
      </c>
    </row>
    <row r="88" spans="1:30" x14ac:dyDescent="0.45">
      <c r="A88" t="s">
        <v>262</v>
      </c>
      <c r="B88" t="s">
        <v>263</v>
      </c>
      <c r="C88" t="str">
        <f>_xlfn.XLOOKUP(Sales_Data[[#This Row],[Product_ID]],Product_Master[Product_ID],Product_Master[Product],"Not Found")</f>
        <v>Bi-Fold Doors</v>
      </c>
      <c r="D88" s="3">
        <v>45770</v>
      </c>
      <c r="E88" t="s">
        <v>59</v>
      </c>
      <c r="F88" t="s">
        <v>70</v>
      </c>
      <c r="G88" t="s">
        <v>116</v>
      </c>
      <c r="H88" t="s">
        <v>83</v>
      </c>
      <c r="I88" t="s">
        <v>41</v>
      </c>
      <c r="J88" t="s">
        <v>42</v>
      </c>
      <c r="K88" t="s">
        <v>43</v>
      </c>
      <c r="L88">
        <v>5</v>
      </c>
      <c r="M88">
        <v>53431</v>
      </c>
      <c r="N88">
        <v>0.15</v>
      </c>
      <c r="O88">
        <v>267155</v>
      </c>
      <c r="P88">
        <v>40073.25</v>
      </c>
      <c r="Q88">
        <v>227081.75</v>
      </c>
      <c r="R88">
        <f>YEAR(Sales_Data[[#This Row],[Order_Date]])</f>
        <v>2025</v>
      </c>
      <c r="S88" t="str">
        <f>TEXT(Sales_Data[[#This Row],[Order_Date]],"mmmm")</f>
        <v>April</v>
      </c>
      <c r="T88">
        <f t="shared" si="1"/>
        <v>4</v>
      </c>
      <c r="U88" t="str">
        <f>"Q"&amp;ROUNDUP(MONTH(Sales_Data[[#This Row],[Order_Date]])/3,0)</f>
        <v>Q2</v>
      </c>
      <c r="V88" t="s">
        <v>98</v>
      </c>
      <c r="W88" t="s">
        <v>33</v>
      </c>
      <c r="X88" t="s">
        <v>66</v>
      </c>
      <c r="Y88">
        <v>5</v>
      </c>
      <c r="Z88">
        <v>12</v>
      </c>
      <c r="AA88">
        <v>5</v>
      </c>
      <c r="AB88" t="s">
        <v>77</v>
      </c>
      <c r="AC88" t="s">
        <v>47</v>
      </c>
      <c r="AD88">
        <v>2025</v>
      </c>
    </row>
    <row r="89" spans="1:30" x14ac:dyDescent="0.45">
      <c r="A89" t="s">
        <v>264</v>
      </c>
      <c r="B89" t="s">
        <v>265</v>
      </c>
      <c r="C89" t="str">
        <f>_xlfn.XLOOKUP(Sales_Data[[#This Row],[Product_ID]],Product_Master[Product_ID],Product_Master[Product],"Not Found")</f>
        <v>Aluminium Windows</v>
      </c>
      <c r="D89" s="3">
        <v>45959</v>
      </c>
      <c r="E89" t="s">
        <v>59</v>
      </c>
      <c r="F89" t="s">
        <v>39</v>
      </c>
      <c r="G89" t="s">
        <v>50</v>
      </c>
      <c r="H89" t="s">
        <v>83</v>
      </c>
      <c r="I89" t="s">
        <v>52</v>
      </c>
      <c r="J89" t="s">
        <v>53</v>
      </c>
      <c r="K89" t="s">
        <v>31</v>
      </c>
      <c r="L89">
        <v>3</v>
      </c>
      <c r="M89">
        <v>20834</v>
      </c>
      <c r="N89">
        <v>0.05</v>
      </c>
      <c r="O89">
        <v>62502</v>
      </c>
      <c r="P89">
        <v>3125.1</v>
      </c>
      <c r="Q89">
        <v>59376.9</v>
      </c>
      <c r="R89">
        <f>YEAR(Sales_Data[[#This Row],[Order_Date]])</f>
        <v>2025</v>
      </c>
      <c r="S89" t="str">
        <f>TEXT(Sales_Data[[#This Row],[Order_Date]],"mmmm")</f>
        <v>October</v>
      </c>
      <c r="T89">
        <f t="shared" si="1"/>
        <v>10</v>
      </c>
      <c r="U89" t="str">
        <f>"Q"&amp;ROUNDUP(MONTH(Sales_Data[[#This Row],[Order_Date]])/3,0)</f>
        <v>Q4</v>
      </c>
      <c r="V89" t="s">
        <v>32</v>
      </c>
      <c r="W89" t="s">
        <v>65</v>
      </c>
      <c r="X89" t="s">
        <v>45</v>
      </c>
      <c r="Y89">
        <v>1</v>
      </c>
      <c r="Z89">
        <v>18</v>
      </c>
      <c r="AA89">
        <v>3</v>
      </c>
      <c r="AB89" t="s">
        <v>35</v>
      </c>
      <c r="AC89" t="s">
        <v>36</v>
      </c>
      <c r="AD89">
        <v>2025</v>
      </c>
    </row>
    <row r="90" spans="1:30" x14ac:dyDescent="0.45">
      <c r="A90" t="s">
        <v>266</v>
      </c>
      <c r="B90" t="s">
        <v>267</v>
      </c>
      <c r="C90" t="str">
        <f>_xlfn.XLOOKUP(Sales_Data[[#This Row],[Product_ID]],Product_Master[Product_ID],Product_Master[Product],"Not Found")</f>
        <v>Aluminium Windows</v>
      </c>
      <c r="D90" s="3">
        <v>45950</v>
      </c>
      <c r="E90" t="s">
        <v>59</v>
      </c>
      <c r="F90" t="s">
        <v>26</v>
      </c>
      <c r="G90" t="s">
        <v>27</v>
      </c>
      <c r="H90" t="s">
        <v>112</v>
      </c>
      <c r="I90" t="s">
        <v>52</v>
      </c>
      <c r="J90" t="s">
        <v>53</v>
      </c>
      <c r="K90" t="s">
        <v>31</v>
      </c>
      <c r="L90">
        <v>6</v>
      </c>
      <c r="M90">
        <v>22069</v>
      </c>
      <c r="N90">
        <v>0.1</v>
      </c>
      <c r="O90">
        <v>132414</v>
      </c>
      <c r="P90">
        <v>13241.4</v>
      </c>
      <c r="Q90">
        <v>119172.6</v>
      </c>
      <c r="R90">
        <f>YEAR(Sales_Data[[#This Row],[Order_Date]])</f>
        <v>2025</v>
      </c>
      <c r="S90" t="str">
        <f>TEXT(Sales_Data[[#This Row],[Order_Date]],"mmmm")</f>
        <v>October</v>
      </c>
      <c r="T90">
        <f t="shared" si="1"/>
        <v>10</v>
      </c>
      <c r="U90" t="str">
        <f>"Q"&amp;ROUNDUP(MONTH(Sales_Data[[#This Row],[Order_Date]])/3,0)</f>
        <v>Q4</v>
      </c>
      <c r="V90" t="s">
        <v>32</v>
      </c>
      <c r="W90" t="s">
        <v>65</v>
      </c>
      <c r="X90" t="s">
        <v>45</v>
      </c>
      <c r="Y90">
        <v>7</v>
      </c>
      <c r="Z90">
        <v>11</v>
      </c>
      <c r="AA90">
        <v>4</v>
      </c>
      <c r="AB90" t="s">
        <v>35</v>
      </c>
      <c r="AC90" t="s">
        <v>36</v>
      </c>
      <c r="AD90">
        <v>2025</v>
      </c>
    </row>
    <row r="91" spans="1:30" x14ac:dyDescent="0.45">
      <c r="A91" t="s">
        <v>268</v>
      </c>
      <c r="B91" t="s">
        <v>269</v>
      </c>
      <c r="C91" t="str">
        <f>_xlfn.XLOOKUP(Sales_Data[[#This Row],[Product_ID]],Product_Master[Product_ID],Product_Master[Product],"Not Found")</f>
        <v>Sliding Doors</v>
      </c>
      <c r="D91" s="3">
        <v>45809</v>
      </c>
      <c r="E91" t="s">
        <v>59</v>
      </c>
      <c r="F91" t="s">
        <v>70</v>
      </c>
      <c r="G91" t="s">
        <v>50</v>
      </c>
      <c r="H91" t="s">
        <v>119</v>
      </c>
      <c r="I91" t="s">
        <v>101</v>
      </c>
      <c r="J91" t="s">
        <v>102</v>
      </c>
      <c r="K91" t="s">
        <v>43</v>
      </c>
      <c r="L91">
        <v>5</v>
      </c>
      <c r="M91">
        <v>38026</v>
      </c>
      <c r="N91">
        <v>0.2</v>
      </c>
      <c r="O91">
        <v>190130</v>
      </c>
      <c r="P91">
        <v>38026</v>
      </c>
      <c r="Q91">
        <v>152104</v>
      </c>
      <c r="R91">
        <f>YEAR(Sales_Data[[#This Row],[Order_Date]])</f>
        <v>2025</v>
      </c>
      <c r="S91" t="str">
        <f>TEXT(Sales_Data[[#This Row],[Order_Date]],"mmmm")</f>
        <v>June</v>
      </c>
      <c r="T91">
        <f t="shared" si="1"/>
        <v>6</v>
      </c>
      <c r="U91" t="str">
        <f>"Q"&amp;ROUNDUP(MONTH(Sales_Data[[#This Row],[Order_Date]])/3,0)</f>
        <v>Q2</v>
      </c>
      <c r="V91" t="s">
        <v>32</v>
      </c>
      <c r="W91" t="s">
        <v>33</v>
      </c>
      <c r="X91" t="s">
        <v>45</v>
      </c>
      <c r="Y91">
        <v>7</v>
      </c>
      <c r="Z91">
        <v>5</v>
      </c>
      <c r="AA91">
        <v>2</v>
      </c>
      <c r="AB91" t="s">
        <v>46</v>
      </c>
      <c r="AC91" t="s">
        <v>47</v>
      </c>
      <c r="AD91">
        <v>2025</v>
      </c>
    </row>
    <row r="92" spans="1:30" x14ac:dyDescent="0.45">
      <c r="A92" t="s">
        <v>270</v>
      </c>
      <c r="B92" t="s">
        <v>271</v>
      </c>
      <c r="C92" t="str">
        <f>_xlfn.XLOOKUP(Sales_Data[[#This Row],[Product_ID]],Product_Master[Product_ID],Product_Master[Product],"Not Found")</f>
        <v>Bi-Fold Doors</v>
      </c>
      <c r="D92" s="3">
        <v>45781</v>
      </c>
      <c r="E92" t="s">
        <v>59</v>
      </c>
      <c r="F92" t="s">
        <v>39</v>
      </c>
      <c r="G92" t="s">
        <v>50</v>
      </c>
      <c r="H92" t="s">
        <v>28</v>
      </c>
      <c r="I92" t="s">
        <v>41</v>
      </c>
      <c r="J92" t="s">
        <v>42</v>
      </c>
      <c r="K92" t="s">
        <v>43</v>
      </c>
      <c r="L92">
        <v>3</v>
      </c>
      <c r="M92">
        <v>59674</v>
      </c>
      <c r="N92">
        <v>0.2</v>
      </c>
      <c r="O92">
        <v>179022</v>
      </c>
      <c r="P92">
        <v>35804.400000000001</v>
      </c>
      <c r="Q92">
        <v>143217.60000000001</v>
      </c>
      <c r="R92">
        <f>YEAR(Sales_Data[[#This Row],[Order_Date]])</f>
        <v>2025</v>
      </c>
      <c r="S92" t="str">
        <f>TEXT(Sales_Data[[#This Row],[Order_Date]],"mmmm")</f>
        <v>May</v>
      </c>
      <c r="T92">
        <f t="shared" si="1"/>
        <v>5</v>
      </c>
      <c r="U92" t="str">
        <f>"Q"&amp;ROUNDUP(MONTH(Sales_Data[[#This Row],[Order_Date]])/3,0)</f>
        <v>Q2</v>
      </c>
      <c r="V92" t="s">
        <v>122</v>
      </c>
      <c r="W92" t="s">
        <v>33</v>
      </c>
      <c r="X92" t="s">
        <v>34</v>
      </c>
      <c r="Y92">
        <v>6</v>
      </c>
      <c r="Z92">
        <v>26</v>
      </c>
      <c r="AA92">
        <v>3</v>
      </c>
      <c r="AB92" t="s">
        <v>72</v>
      </c>
      <c r="AC92" t="s">
        <v>47</v>
      </c>
      <c r="AD92">
        <v>2025</v>
      </c>
    </row>
    <row r="93" spans="1:30" x14ac:dyDescent="0.45">
      <c r="A93" t="s">
        <v>272</v>
      </c>
      <c r="B93" t="s">
        <v>273</v>
      </c>
      <c r="C93" t="str">
        <f>_xlfn.XLOOKUP(Sales_Data[[#This Row],[Product_ID]],Product_Master[Product_ID],Product_Master[Product],"Not Found")</f>
        <v>uPVC Windows</v>
      </c>
      <c r="D93" s="3">
        <v>46022</v>
      </c>
      <c r="E93" t="s">
        <v>25</v>
      </c>
      <c r="F93" t="s">
        <v>26</v>
      </c>
      <c r="G93" t="s">
        <v>40</v>
      </c>
      <c r="H93" t="s">
        <v>28</v>
      </c>
      <c r="I93" t="s">
        <v>62</v>
      </c>
      <c r="J93" t="s">
        <v>63</v>
      </c>
      <c r="K93" t="s">
        <v>31</v>
      </c>
      <c r="L93">
        <v>3</v>
      </c>
      <c r="M93">
        <v>20433</v>
      </c>
      <c r="N93">
        <v>0.05</v>
      </c>
      <c r="O93">
        <v>61299</v>
      </c>
      <c r="P93">
        <v>3064.95</v>
      </c>
      <c r="Q93">
        <v>58234.05</v>
      </c>
      <c r="R93">
        <f>YEAR(Sales_Data[[#This Row],[Order_Date]])</f>
        <v>2025</v>
      </c>
      <c r="S93" t="str">
        <f>TEXT(Sales_Data[[#This Row],[Order_Date]],"mmmm")</f>
        <v>December</v>
      </c>
      <c r="T93">
        <f t="shared" si="1"/>
        <v>12</v>
      </c>
      <c r="U93" t="str">
        <f>"Q"&amp;ROUNDUP(MONTH(Sales_Data[[#This Row],[Order_Date]])/3,0)</f>
        <v>Q4</v>
      </c>
      <c r="V93" t="s">
        <v>98</v>
      </c>
      <c r="W93" t="s">
        <v>33</v>
      </c>
      <c r="X93" t="s">
        <v>66</v>
      </c>
      <c r="Y93">
        <v>2</v>
      </c>
      <c r="Z93">
        <v>9</v>
      </c>
      <c r="AA93">
        <v>5</v>
      </c>
      <c r="AB93" t="s">
        <v>113</v>
      </c>
      <c r="AC93" t="s">
        <v>36</v>
      </c>
      <c r="AD93">
        <v>2025</v>
      </c>
    </row>
    <row r="94" spans="1:30" x14ac:dyDescent="0.45">
      <c r="A94" t="s">
        <v>274</v>
      </c>
      <c r="B94" t="s">
        <v>275</v>
      </c>
      <c r="C94" t="str">
        <f>_xlfn.XLOOKUP(Sales_Data[[#This Row],[Product_ID]],Product_Master[Product_ID],Product_Master[Product],"Not Found")</f>
        <v>Soundproof Windows</v>
      </c>
      <c r="D94" s="3">
        <v>45693</v>
      </c>
      <c r="E94" t="s">
        <v>25</v>
      </c>
      <c r="F94" t="s">
        <v>60</v>
      </c>
      <c r="G94" t="s">
        <v>50</v>
      </c>
      <c r="H94" t="s">
        <v>88</v>
      </c>
      <c r="I94" t="s">
        <v>29</v>
      </c>
      <c r="J94" t="s">
        <v>30</v>
      </c>
      <c r="K94" t="s">
        <v>31</v>
      </c>
      <c r="L94">
        <v>5</v>
      </c>
      <c r="M94">
        <v>44027</v>
      </c>
      <c r="N94">
        <v>0</v>
      </c>
      <c r="O94">
        <v>220135</v>
      </c>
      <c r="P94">
        <v>0</v>
      </c>
      <c r="Q94">
        <v>220135</v>
      </c>
      <c r="R94">
        <f>YEAR(Sales_Data[[#This Row],[Order_Date]])</f>
        <v>2025</v>
      </c>
      <c r="S94" t="str">
        <f>TEXT(Sales_Data[[#This Row],[Order_Date]],"mmmm")</f>
        <v>February</v>
      </c>
      <c r="T94">
        <f t="shared" si="1"/>
        <v>2</v>
      </c>
      <c r="U94" t="str">
        <f>"Q"&amp;ROUNDUP(MONTH(Sales_Data[[#This Row],[Order_Date]])/3,0)</f>
        <v>Q1</v>
      </c>
      <c r="V94" t="s">
        <v>32</v>
      </c>
      <c r="W94" t="s">
        <v>54</v>
      </c>
      <c r="X94" t="s">
        <v>45</v>
      </c>
      <c r="Y94">
        <v>6</v>
      </c>
      <c r="Z94">
        <v>14</v>
      </c>
      <c r="AA94">
        <v>5</v>
      </c>
      <c r="AB94" t="s">
        <v>55</v>
      </c>
      <c r="AC94" t="s">
        <v>56</v>
      </c>
      <c r="AD94">
        <v>2025</v>
      </c>
    </row>
    <row r="95" spans="1:30" x14ac:dyDescent="0.45">
      <c r="A95" t="s">
        <v>276</v>
      </c>
      <c r="B95" t="s">
        <v>277</v>
      </c>
      <c r="C95" t="str">
        <f>_xlfn.XLOOKUP(Sales_Data[[#This Row],[Product_ID]],Product_Master[Product_ID],Product_Master[Product],"Not Found")</f>
        <v>Bi-Fold Doors</v>
      </c>
      <c r="D95" s="3">
        <v>45701</v>
      </c>
      <c r="E95" t="s">
        <v>25</v>
      </c>
      <c r="F95" t="s">
        <v>26</v>
      </c>
      <c r="G95" t="s">
        <v>111</v>
      </c>
      <c r="H95" t="s">
        <v>119</v>
      </c>
      <c r="I95" t="s">
        <v>41</v>
      </c>
      <c r="J95" t="s">
        <v>42</v>
      </c>
      <c r="K95" t="s">
        <v>43</v>
      </c>
      <c r="L95">
        <v>1</v>
      </c>
      <c r="M95">
        <v>56204</v>
      </c>
      <c r="N95">
        <v>0</v>
      </c>
      <c r="O95">
        <v>56204</v>
      </c>
      <c r="P95">
        <v>0</v>
      </c>
      <c r="Q95">
        <v>56204</v>
      </c>
      <c r="R95">
        <f>YEAR(Sales_Data[[#This Row],[Order_Date]])</f>
        <v>2025</v>
      </c>
      <c r="S95" t="str">
        <f>TEXT(Sales_Data[[#This Row],[Order_Date]],"mmmm")</f>
        <v>February</v>
      </c>
      <c r="T95">
        <f t="shared" si="1"/>
        <v>2</v>
      </c>
      <c r="U95" t="str">
        <f>"Q"&amp;ROUNDUP(MONTH(Sales_Data[[#This Row],[Order_Date]])/3,0)</f>
        <v>Q1</v>
      </c>
      <c r="V95" t="s">
        <v>32</v>
      </c>
      <c r="W95" t="s">
        <v>33</v>
      </c>
      <c r="X95" t="s">
        <v>45</v>
      </c>
      <c r="Y95">
        <v>7</v>
      </c>
      <c r="Z95">
        <v>10</v>
      </c>
      <c r="AA95">
        <v>5</v>
      </c>
      <c r="AB95" t="s">
        <v>55</v>
      </c>
      <c r="AC95" t="s">
        <v>56</v>
      </c>
      <c r="AD95">
        <v>2025</v>
      </c>
    </row>
    <row r="96" spans="1:30" x14ac:dyDescent="0.45">
      <c r="A96" t="s">
        <v>278</v>
      </c>
      <c r="B96" t="s">
        <v>279</v>
      </c>
      <c r="C96" t="str">
        <f>_xlfn.XLOOKUP(Sales_Data[[#This Row],[Product_ID]],Product_Master[Product_ID],Product_Master[Product],"Not Found")</f>
        <v>Sliding Doors</v>
      </c>
      <c r="D96" s="3">
        <v>45744</v>
      </c>
      <c r="E96" t="s">
        <v>59</v>
      </c>
      <c r="F96" t="s">
        <v>39</v>
      </c>
      <c r="G96" t="s">
        <v>82</v>
      </c>
      <c r="H96" t="s">
        <v>83</v>
      </c>
      <c r="I96" t="s">
        <v>101</v>
      </c>
      <c r="J96" t="s">
        <v>102</v>
      </c>
      <c r="K96" t="s">
        <v>43</v>
      </c>
      <c r="L96">
        <v>2</v>
      </c>
      <c r="M96">
        <v>33172</v>
      </c>
      <c r="N96">
        <v>0.05</v>
      </c>
      <c r="O96">
        <v>66344</v>
      </c>
      <c r="P96">
        <v>3317.2</v>
      </c>
      <c r="Q96">
        <v>63026.8</v>
      </c>
      <c r="R96">
        <f>YEAR(Sales_Data[[#This Row],[Order_Date]])</f>
        <v>2025</v>
      </c>
      <c r="S96" t="str">
        <f>TEXT(Sales_Data[[#This Row],[Order_Date]],"mmmm")</f>
        <v>March</v>
      </c>
      <c r="T96">
        <f t="shared" si="1"/>
        <v>3</v>
      </c>
      <c r="U96" t="str">
        <f>"Q"&amp;ROUNDUP(MONTH(Sales_Data[[#This Row],[Order_Date]])/3,0)</f>
        <v>Q1</v>
      </c>
      <c r="V96" t="s">
        <v>32</v>
      </c>
      <c r="W96" t="s">
        <v>33</v>
      </c>
      <c r="X96" t="s">
        <v>45</v>
      </c>
      <c r="Y96">
        <v>4</v>
      </c>
      <c r="Z96">
        <v>14</v>
      </c>
      <c r="AA96">
        <v>2</v>
      </c>
      <c r="AB96" t="s">
        <v>130</v>
      </c>
      <c r="AC96" t="s">
        <v>56</v>
      </c>
      <c r="AD96">
        <v>2025</v>
      </c>
    </row>
    <row r="97" spans="1:30" x14ac:dyDescent="0.45">
      <c r="A97" t="s">
        <v>280</v>
      </c>
      <c r="B97" t="s">
        <v>281</v>
      </c>
      <c r="C97" t="str">
        <f>_xlfn.XLOOKUP(Sales_Data[[#This Row],[Product_ID]],Product_Master[Product_ID],Product_Master[Product],"Not Found")</f>
        <v>Bi-Fold Doors</v>
      </c>
      <c r="D97" s="3">
        <v>45946</v>
      </c>
      <c r="E97" t="s">
        <v>25</v>
      </c>
      <c r="F97" t="s">
        <v>26</v>
      </c>
      <c r="G97" t="s">
        <v>40</v>
      </c>
      <c r="H97" t="s">
        <v>71</v>
      </c>
      <c r="I97" t="s">
        <v>41</v>
      </c>
      <c r="J97" t="s">
        <v>42</v>
      </c>
      <c r="K97" t="s">
        <v>43</v>
      </c>
      <c r="L97">
        <v>1</v>
      </c>
      <c r="M97">
        <v>62982</v>
      </c>
      <c r="N97">
        <v>0.05</v>
      </c>
      <c r="O97">
        <v>62982</v>
      </c>
      <c r="P97">
        <v>3149.1</v>
      </c>
      <c r="Q97">
        <v>59832.9</v>
      </c>
      <c r="R97">
        <f>YEAR(Sales_Data[[#This Row],[Order_Date]])</f>
        <v>2025</v>
      </c>
      <c r="S97" t="str">
        <f>TEXT(Sales_Data[[#This Row],[Order_Date]],"mmmm")</f>
        <v>October</v>
      </c>
      <c r="T97">
        <f t="shared" si="1"/>
        <v>10</v>
      </c>
      <c r="U97" t="str">
        <f>"Q"&amp;ROUNDUP(MONTH(Sales_Data[[#This Row],[Order_Date]])/3,0)</f>
        <v>Q4</v>
      </c>
      <c r="V97" t="s">
        <v>64</v>
      </c>
      <c r="W97" t="s">
        <v>33</v>
      </c>
      <c r="X97" t="s">
        <v>34</v>
      </c>
      <c r="Y97">
        <v>6</v>
      </c>
      <c r="Z97">
        <v>10</v>
      </c>
      <c r="AA97">
        <v>5</v>
      </c>
      <c r="AB97" t="s">
        <v>35</v>
      </c>
      <c r="AC97" t="s">
        <v>36</v>
      </c>
      <c r="AD97">
        <v>2025</v>
      </c>
    </row>
    <row r="98" spans="1:30" x14ac:dyDescent="0.45">
      <c r="A98" t="s">
        <v>282</v>
      </c>
      <c r="B98" t="s">
        <v>283</v>
      </c>
      <c r="C98" t="str">
        <f>_xlfn.XLOOKUP(Sales_Data[[#This Row],[Product_ID]],Product_Master[Product_ID],Product_Master[Product],"Not Found")</f>
        <v>Aluminium Windows</v>
      </c>
      <c r="D98" s="3">
        <v>45998</v>
      </c>
      <c r="E98" t="s">
        <v>25</v>
      </c>
      <c r="F98" t="s">
        <v>26</v>
      </c>
      <c r="G98" t="s">
        <v>111</v>
      </c>
      <c r="H98" t="s">
        <v>119</v>
      </c>
      <c r="I98" t="s">
        <v>52</v>
      </c>
      <c r="J98" t="s">
        <v>53</v>
      </c>
      <c r="K98" t="s">
        <v>31</v>
      </c>
      <c r="L98">
        <v>5</v>
      </c>
      <c r="M98">
        <v>25001</v>
      </c>
      <c r="N98">
        <v>0.15</v>
      </c>
      <c r="O98">
        <v>125005</v>
      </c>
      <c r="P98">
        <v>18750.75</v>
      </c>
      <c r="Q98">
        <v>106254.25</v>
      </c>
      <c r="R98">
        <f>YEAR(Sales_Data[[#This Row],[Order_Date]])</f>
        <v>2025</v>
      </c>
      <c r="S98" t="str">
        <f>TEXT(Sales_Data[[#This Row],[Order_Date]],"mmmm")</f>
        <v>December</v>
      </c>
      <c r="T98">
        <f t="shared" si="1"/>
        <v>12</v>
      </c>
      <c r="U98" t="str">
        <f>"Q"&amp;ROUNDUP(MONTH(Sales_Data[[#This Row],[Order_Date]])/3,0)</f>
        <v>Q4</v>
      </c>
      <c r="V98" t="s">
        <v>44</v>
      </c>
      <c r="W98" t="s">
        <v>33</v>
      </c>
      <c r="X98" t="s">
        <v>45</v>
      </c>
      <c r="Y98">
        <v>6</v>
      </c>
      <c r="Z98">
        <v>14</v>
      </c>
      <c r="AA98">
        <v>5</v>
      </c>
      <c r="AB98" t="s">
        <v>113</v>
      </c>
      <c r="AC98" t="s">
        <v>36</v>
      </c>
      <c r="AD98">
        <v>2025</v>
      </c>
    </row>
    <row r="99" spans="1:30" x14ac:dyDescent="0.45">
      <c r="A99" t="s">
        <v>284</v>
      </c>
      <c r="B99" t="s">
        <v>285</v>
      </c>
      <c r="C99" t="str">
        <f>_xlfn.XLOOKUP(Sales_Data[[#This Row],[Product_ID]],Product_Master[Product_ID],Product_Master[Product],"Not Found")</f>
        <v>Sliding Doors</v>
      </c>
      <c r="D99" s="3">
        <v>45976</v>
      </c>
      <c r="E99" t="s">
        <v>25</v>
      </c>
      <c r="F99" t="s">
        <v>26</v>
      </c>
      <c r="G99" t="s">
        <v>139</v>
      </c>
      <c r="H99" t="s">
        <v>83</v>
      </c>
      <c r="I99" t="s">
        <v>101</v>
      </c>
      <c r="J99" t="s">
        <v>102</v>
      </c>
      <c r="K99" t="s">
        <v>43</v>
      </c>
      <c r="L99">
        <v>1</v>
      </c>
      <c r="M99">
        <v>33261</v>
      </c>
      <c r="N99">
        <v>0.05</v>
      </c>
      <c r="O99">
        <v>33261</v>
      </c>
      <c r="P99">
        <v>1663.05</v>
      </c>
      <c r="Q99">
        <v>31597.95</v>
      </c>
      <c r="R99">
        <f>YEAR(Sales_Data[[#This Row],[Order_Date]])</f>
        <v>2025</v>
      </c>
      <c r="S99" t="str">
        <f>TEXT(Sales_Data[[#This Row],[Order_Date]],"mmmm")</f>
        <v>November</v>
      </c>
      <c r="T99">
        <f t="shared" si="1"/>
        <v>11</v>
      </c>
      <c r="U99" t="str">
        <f>"Q"&amp;ROUNDUP(MONTH(Sales_Data[[#This Row],[Order_Date]])/3,0)</f>
        <v>Q4</v>
      </c>
      <c r="V99" t="s">
        <v>64</v>
      </c>
      <c r="W99" t="s">
        <v>33</v>
      </c>
      <c r="X99" t="s">
        <v>45</v>
      </c>
      <c r="Y99">
        <v>5</v>
      </c>
      <c r="Z99">
        <v>19</v>
      </c>
      <c r="AA99">
        <v>5</v>
      </c>
      <c r="AB99" t="s">
        <v>67</v>
      </c>
      <c r="AC99" t="s">
        <v>36</v>
      </c>
      <c r="AD99">
        <v>2025</v>
      </c>
    </row>
    <row r="100" spans="1:30" x14ac:dyDescent="0.45">
      <c r="A100" t="s">
        <v>286</v>
      </c>
      <c r="B100" t="s">
        <v>287</v>
      </c>
      <c r="C100" t="str">
        <f>_xlfn.XLOOKUP(Sales_Data[[#This Row],[Product_ID]],Product_Master[Product_ID],Product_Master[Product],"Not Found")</f>
        <v>French Doors</v>
      </c>
      <c r="D100" s="3">
        <v>45927</v>
      </c>
      <c r="E100" t="s">
        <v>25</v>
      </c>
      <c r="F100" t="s">
        <v>26</v>
      </c>
      <c r="G100" t="s">
        <v>116</v>
      </c>
      <c r="H100" t="s">
        <v>88</v>
      </c>
      <c r="I100" t="s">
        <v>84</v>
      </c>
      <c r="J100" t="s">
        <v>85</v>
      </c>
      <c r="K100" t="s">
        <v>43</v>
      </c>
      <c r="L100">
        <v>3</v>
      </c>
      <c r="M100">
        <v>47739</v>
      </c>
      <c r="N100">
        <v>0.1</v>
      </c>
      <c r="O100">
        <v>143217</v>
      </c>
      <c r="P100">
        <v>14321.7</v>
      </c>
      <c r="Q100">
        <v>128895.3</v>
      </c>
      <c r="R100">
        <f>YEAR(Sales_Data[[#This Row],[Order_Date]])</f>
        <v>2025</v>
      </c>
      <c r="S100" t="str">
        <f>TEXT(Sales_Data[[#This Row],[Order_Date]],"mmmm")</f>
        <v>September</v>
      </c>
      <c r="T100">
        <f t="shared" si="1"/>
        <v>9</v>
      </c>
      <c r="U100" t="str">
        <f>"Q"&amp;ROUNDUP(MONTH(Sales_Data[[#This Row],[Order_Date]])/3,0)</f>
        <v>Q3</v>
      </c>
      <c r="V100" t="s">
        <v>44</v>
      </c>
      <c r="W100" t="s">
        <v>33</v>
      </c>
      <c r="X100" t="s">
        <v>45</v>
      </c>
      <c r="Y100">
        <v>4</v>
      </c>
      <c r="Z100">
        <v>5</v>
      </c>
      <c r="AA100">
        <v>4</v>
      </c>
      <c r="AB100" t="s">
        <v>89</v>
      </c>
      <c r="AC100" t="s">
        <v>90</v>
      </c>
      <c r="AD100">
        <v>2025</v>
      </c>
    </row>
    <row r="101" spans="1:30" x14ac:dyDescent="0.45">
      <c r="A101" t="s">
        <v>288</v>
      </c>
      <c r="B101" t="s">
        <v>289</v>
      </c>
      <c r="C101" t="str">
        <f>_xlfn.XLOOKUP(Sales_Data[[#This Row],[Product_ID]],Product_Master[Product_ID],Product_Master[Product],"Not Found")</f>
        <v>Casement Windows</v>
      </c>
      <c r="D101" s="3">
        <v>45729</v>
      </c>
      <c r="E101" t="s">
        <v>25</v>
      </c>
      <c r="F101" t="s">
        <v>26</v>
      </c>
      <c r="G101" t="s">
        <v>111</v>
      </c>
      <c r="H101" t="s">
        <v>83</v>
      </c>
      <c r="I101" t="s">
        <v>75</v>
      </c>
      <c r="J101" t="s">
        <v>76</v>
      </c>
      <c r="K101" t="s">
        <v>31</v>
      </c>
      <c r="L101">
        <v>1</v>
      </c>
      <c r="M101">
        <v>25973</v>
      </c>
      <c r="N101">
        <v>0.15</v>
      </c>
      <c r="O101">
        <v>25973</v>
      </c>
      <c r="P101">
        <v>3895.95</v>
      </c>
      <c r="Q101">
        <v>22077.05</v>
      </c>
      <c r="R101">
        <f>YEAR(Sales_Data[[#This Row],[Order_Date]])</f>
        <v>2025</v>
      </c>
      <c r="S101" t="str">
        <f>TEXT(Sales_Data[[#This Row],[Order_Date]],"mmmm")</f>
        <v>March</v>
      </c>
      <c r="T101">
        <f t="shared" si="1"/>
        <v>3</v>
      </c>
      <c r="U101" t="str">
        <f>"Q"&amp;ROUNDUP(MONTH(Sales_Data[[#This Row],[Order_Date]])/3,0)</f>
        <v>Q1</v>
      </c>
      <c r="V101" t="s">
        <v>64</v>
      </c>
      <c r="W101" t="s">
        <v>65</v>
      </c>
      <c r="X101" t="s">
        <v>45</v>
      </c>
      <c r="Y101">
        <v>3</v>
      </c>
      <c r="Z101">
        <v>17</v>
      </c>
      <c r="AA101">
        <v>5</v>
      </c>
      <c r="AB101" t="s">
        <v>130</v>
      </c>
      <c r="AC101" t="s">
        <v>56</v>
      </c>
      <c r="AD101">
        <v>2025</v>
      </c>
    </row>
    <row r="102" spans="1:30" x14ac:dyDescent="0.45">
      <c r="A102" t="s">
        <v>290</v>
      </c>
      <c r="B102" t="s">
        <v>291</v>
      </c>
      <c r="C102" t="str">
        <f>_xlfn.XLOOKUP(Sales_Data[[#This Row],[Product_ID]],Product_Master[Product_ID],Product_Master[Product],"Not Found")</f>
        <v>uPVC Doors</v>
      </c>
      <c r="D102" s="3">
        <v>45785</v>
      </c>
      <c r="E102" t="s">
        <v>25</v>
      </c>
      <c r="F102" t="s">
        <v>39</v>
      </c>
      <c r="G102" t="s">
        <v>50</v>
      </c>
      <c r="H102" t="s">
        <v>51</v>
      </c>
      <c r="I102" t="s">
        <v>107</v>
      </c>
      <c r="J102" t="s">
        <v>108</v>
      </c>
      <c r="K102" t="s">
        <v>43</v>
      </c>
      <c r="L102">
        <v>3</v>
      </c>
      <c r="M102">
        <v>32151</v>
      </c>
      <c r="N102">
        <v>0</v>
      </c>
      <c r="O102">
        <v>96453</v>
      </c>
      <c r="P102">
        <v>0</v>
      </c>
      <c r="Q102">
        <v>96453</v>
      </c>
      <c r="R102">
        <f>YEAR(Sales_Data[[#This Row],[Order_Date]])</f>
        <v>2025</v>
      </c>
      <c r="S102" t="str">
        <f>TEXT(Sales_Data[[#This Row],[Order_Date]],"mmmm")</f>
        <v>May</v>
      </c>
      <c r="T102">
        <f t="shared" si="1"/>
        <v>5</v>
      </c>
      <c r="U102" t="str">
        <f>"Q"&amp;ROUNDUP(MONTH(Sales_Data[[#This Row],[Order_Date]])/3,0)</f>
        <v>Q2</v>
      </c>
      <c r="V102" t="s">
        <v>32</v>
      </c>
      <c r="W102" t="s">
        <v>33</v>
      </c>
      <c r="X102" t="s">
        <v>93</v>
      </c>
      <c r="Y102">
        <v>4</v>
      </c>
      <c r="Z102">
        <v>13</v>
      </c>
      <c r="AA102">
        <v>5</v>
      </c>
      <c r="AB102" t="s">
        <v>72</v>
      </c>
      <c r="AC102" t="s">
        <v>47</v>
      </c>
      <c r="AD102">
        <v>2025</v>
      </c>
    </row>
    <row r="103" spans="1:30" x14ac:dyDescent="0.45">
      <c r="A103" t="s">
        <v>292</v>
      </c>
      <c r="B103" t="s">
        <v>293</v>
      </c>
      <c r="C103" t="str">
        <f>_xlfn.XLOOKUP(Sales_Data[[#This Row],[Product_ID]],Product_Master[Product_ID],Product_Master[Product],"Not Found")</f>
        <v>Aluminium Windows</v>
      </c>
      <c r="D103" s="3">
        <v>45791</v>
      </c>
      <c r="E103" t="s">
        <v>25</v>
      </c>
      <c r="F103" t="s">
        <v>70</v>
      </c>
      <c r="G103" t="s">
        <v>50</v>
      </c>
      <c r="H103" t="s">
        <v>83</v>
      </c>
      <c r="I103" t="s">
        <v>52</v>
      </c>
      <c r="J103" t="s">
        <v>53</v>
      </c>
      <c r="K103" t="s">
        <v>31</v>
      </c>
      <c r="L103">
        <v>3</v>
      </c>
      <c r="M103">
        <v>23977</v>
      </c>
      <c r="N103">
        <v>0.2</v>
      </c>
      <c r="O103">
        <v>71931</v>
      </c>
      <c r="P103">
        <v>14386.2</v>
      </c>
      <c r="Q103">
        <v>57544.800000000003</v>
      </c>
      <c r="R103">
        <f>YEAR(Sales_Data[[#This Row],[Order_Date]])</f>
        <v>2025</v>
      </c>
      <c r="S103" t="str">
        <f>TEXT(Sales_Data[[#This Row],[Order_Date]],"mmmm")</f>
        <v>May</v>
      </c>
      <c r="T103">
        <f t="shared" si="1"/>
        <v>5</v>
      </c>
      <c r="U103" t="str">
        <f>"Q"&amp;ROUNDUP(MONTH(Sales_Data[[#This Row],[Order_Date]])/3,0)</f>
        <v>Q2</v>
      </c>
      <c r="V103" t="s">
        <v>32</v>
      </c>
      <c r="W103" t="s">
        <v>33</v>
      </c>
      <c r="X103" t="s">
        <v>66</v>
      </c>
      <c r="Y103">
        <v>4</v>
      </c>
      <c r="Z103">
        <v>30</v>
      </c>
      <c r="AA103">
        <v>3</v>
      </c>
      <c r="AB103" t="s">
        <v>72</v>
      </c>
      <c r="AC103" t="s">
        <v>47</v>
      </c>
      <c r="AD103">
        <v>2025</v>
      </c>
    </row>
    <row r="104" spans="1:30" x14ac:dyDescent="0.45">
      <c r="A104" t="s">
        <v>294</v>
      </c>
      <c r="B104" t="s">
        <v>295</v>
      </c>
      <c r="C104" t="str">
        <f>_xlfn.XLOOKUP(Sales_Data[[#This Row],[Product_ID]],Product_Master[Product_ID],Product_Master[Product],"Not Found")</f>
        <v>French Doors</v>
      </c>
      <c r="D104" s="3">
        <v>45905</v>
      </c>
      <c r="E104" t="s">
        <v>25</v>
      </c>
      <c r="F104" t="s">
        <v>26</v>
      </c>
      <c r="G104" t="s">
        <v>116</v>
      </c>
      <c r="H104" t="s">
        <v>119</v>
      </c>
      <c r="I104" t="s">
        <v>84</v>
      </c>
      <c r="J104" t="s">
        <v>85</v>
      </c>
      <c r="K104" t="s">
        <v>43</v>
      </c>
      <c r="L104">
        <v>2</v>
      </c>
      <c r="M104">
        <v>38856</v>
      </c>
      <c r="N104">
        <v>0.05</v>
      </c>
      <c r="O104">
        <v>77712</v>
      </c>
      <c r="P104">
        <v>3885.6</v>
      </c>
      <c r="Q104">
        <v>73826.399999999994</v>
      </c>
      <c r="R104">
        <f>YEAR(Sales_Data[[#This Row],[Order_Date]])</f>
        <v>2025</v>
      </c>
      <c r="S104" t="str">
        <f>TEXT(Sales_Data[[#This Row],[Order_Date]],"mmmm")</f>
        <v>September</v>
      </c>
      <c r="T104">
        <f t="shared" si="1"/>
        <v>9</v>
      </c>
      <c r="U104" t="str">
        <f>"Q"&amp;ROUNDUP(MONTH(Sales_Data[[#This Row],[Order_Date]])/3,0)</f>
        <v>Q3</v>
      </c>
      <c r="V104" t="s">
        <v>32</v>
      </c>
      <c r="W104" t="s">
        <v>65</v>
      </c>
      <c r="X104" t="s">
        <v>34</v>
      </c>
      <c r="Y104">
        <v>6</v>
      </c>
      <c r="Z104">
        <v>21</v>
      </c>
      <c r="AA104">
        <v>5</v>
      </c>
      <c r="AB104" t="s">
        <v>89</v>
      </c>
      <c r="AC104" t="s">
        <v>90</v>
      </c>
      <c r="AD104">
        <v>2025</v>
      </c>
    </row>
    <row r="105" spans="1:30" x14ac:dyDescent="0.45">
      <c r="A105" t="s">
        <v>296</v>
      </c>
      <c r="B105" t="s">
        <v>297</v>
      </c>
      <c r="C105" t="str">
        <f>_xlfn.XLOOKUP(Sales_Data[[#This Row],[Product_ID]],Product_Master[Product_ID],Product_Master[Product],"Not Found")</f>
        <v>Sliding Doors</v>
      </c>
      <c r="D105" s="3">
        <v>46007</v>
      </c>
      <c r="E105" t="s">
        <v>25</v>
      </c>
      <c r="F105" t="s">
        <v>26</v>
      </c>
      <c r="G105" t="s">
        <v>111</v>
      </c>
      <c r="H105" t="s">
        <v>119</v>
      </c>
      <c r="I105" t="s">
        <v>101</v>
      </c>
      <c r="J105" t="s">
        <v>102</v>
      </c>
      <c r="K105" t="s">
        <v>43</v>
      </c>
      <c r="L105">
        <v>3</v>
      </c>
      <c r="M105">
        <v>37048</v>
      </c>
      <c r="N105">
        <v>0</v>
      </c>
      <c r="O105">
        <v>111144</v>
      </c>
      <c r="P105">
        <v>0</v>
      </c>
      <c r="Q105">
        <v>111144</v>
      </c>
      <c r="R105">
        <f>YEAR(Sales_Data[[#This Row],[Order_Date]])</f>
        <v>2025</v>
      </c>
      <c r="S105" t="str">
        <f>TEXT(Sales_Data[[#This Row],[Order_Date]],"mmmm")</f>
        <v>December</v>
      </c>
      <c r="T105">
        <f t="shared" si="1"/>
        <v>12</v>
      </c>
      <c r="U105" t="str">
        <f>"Q"&amp;ROUNDUP(MONTH(Sales_Data[[#This Row],[Order_Date]])/3,0)</f>
        <v>Q4</v>
      </c>
      <c r="V105" t="s">
        <v>64</v>
      </c>
      <c r="W105" t="s">
        <v>33</v>
      </c>
      <c r="X105" t="s">
        <v>45</v>
      </c>
      <c r="Y105">
        <v>1</v>
      </c>
      <c r="Z105">
        <v>24</v>
      </c>
      <c r="AA105">
        <v>3</v>
      </c>
      <c r="AB105" t="s">
        <v>113</v>
      </c>
      <c r="AC105" t="s">
        <v>36</v>
      </c>
      <c r="AD105">
        <v>2025</v>
      </c>
    </row>
    <row r="106" spans="1:30" x14ac:dyDescent="0.45">
      <c r="A106" t="s">
        <v>298</v>
      </c>
      <c r="B106" t="s">
        <v>299</v>
      </c>
      <c r="C106" t="str">
        <f>_xlfn.XLOOKUP(Sales_Data[[#This Row],[Product_ID]],Product_Master[Product_ID],Product_Master[Product],"Not Found")</f>
        <v>Soundproof Windows</v>
      </c>
      <c r="D106" s="3">
        <v>45904</v>
      </c>
      <c r="E106" t="s">
        <v>25</v>
      </c>
      <c r="F106" t="s">
        <v>70</v>
      </c>
      <c r="G106" t="s">
        <v>139</v>
      </c>
      <c r="H106" t="s">
        <v>28</v>
      </c>
      <c r="I106" t="s">
        <v>29</v>
      </c>
      <c r="J106" t="s">
        <v>30</v>
      </c>
      <c r="K106" t="s">
        <v>31</v>
      </c>
      <c r="L106">
        <v>3</v>
      </c>
      <c r="M106">
        <v>51529</v>
      </c>
      <c r="N106">
        <v>0.1</v>
      </c>
      <c r="O106">
        <v>154587</v>
      </c>
      <c r="P106">
        <v>15458.7</v>
      </c>
      <c r="Q106">
        <v>139128.29999999999</v>
      </c>
      <c r="R106">
        <f>YEAR(Sales_Data[[#This Row],[Order_Date]])</f>
        <v>2025</v>
      </c>
      <c r="S106" t="str">
        <f>TEXT(Sales_Data[[#This Row],[Order_Date]],"mmmm")</f>
        <v>September</v>
      </c>
      <c r="T106">
        <f t="shared" si="1"/>
        <v>9</v>
      </c>
      <c r="U106" t="str">
        <f>"Q"&amp;ROUNDUP(MONTH(Sales_Data[[#This Row],[Order_Date]])/3,0)</f>
        <v>Q3</v>
      </c>
      <c r="V106" t="s">
        <v>32</v>
      </c>
      <c r="W106" t="s">
        <v>33</v>
      </c>
      <c r="X106" t="s">
        <v>34</v>
      </c>
      <c r="Y106">
        <v>6</v>
      </c>
      <c r="Z106">
        <v>8</v>
      </c>
      <c r="AA106">
        <v>5</v>
      </c>
      <c r="AB106" t="s">
        <v>89</v>
      </c>
      <c r="AC106" t="s">
        <v>90</v>
      </c>
      <c r="AD106">
        <v>2025</v>
      </c>
    </row>
    <row r="107" spans="1:30" x14ac:dyDescent="0.45">
      <c r="A107" t="s">
        <v>300</v>
      </c>
      <c r="B107" t="s">
        <v>301</v>
      </c>
      <c r="C107" t="str">
        <f>_xlfn.XLOOKUP(Sales_Data[[#This Row],[Product_ID]],Product_Master[Product_ID],Product_Master[Product],"Not Found")</f>
        <v>uPVC Doors</v>
      </c>
      <c r="D107" s="3">
        <v>46012</v>
      </c>
      <c r="E107" t="s">
        <v>59</v>
      </c>
      <c r="F107" t="s">
        <v>60</v>
      </c>
      <c r="G107" t="s">
        <v>40</v>
      </c>
      <c r="H107" t="s">
        <v>119</v>
      </c>
      <c r="I107" t="s">
        <v>107</v>
      </c>
      <c r="J107" t="s">
        <v>108</v>
      </c>
      <c r="K107" t="s">
        <v>43</v>
      </c>
      <c r="L107">
        <v>4</v>
      </c>
      <c r="M107">
        <v>31987</v>
      </c>
      <c r="N107">
        <v>0.05</v>
      </c>
      <c r="O107">
        <v>127948</v>
      </c>
      <c r="P107">
        <v>6397.4</v>
      </c>
      <c r="Q107">
        <v>121550.6</v>
      </c>
      <c r="R107">
        <f>YEAR(Sales_Data[[#This Row],[Order_Date]])</f>
        <v>2025</v>
      </c>
      <c r="S107" t="str">
        <f>TEXT(Sales_Data[[#This Row],[Order_Date]],"mmmm")</f>
        <v>December</v>
      </c>
      <c r="T107">
        <f t="shared" si="1"/>
        <v>12</v>
      </c>
      <c r="U107" t="str">
        <f>"Q"&amp;ROUNDUP(MONTH(Sales_Data[[#This Row],[Order_Date]])/3,0)</f>
        <v>Q4</v>
      </c>
      <c r="V107" t="s">
        <v>44</v>
      </c>
      <c r="W107" t="s">
        <v>33</v>
      </c>
      <c r="X107" t="s">
        <v>45</v>
      </c>
      <c r="Y107">
        <v>6</v>
      </c>
      <c r="Z107">
        <v>18</v>
      </c>
      <c r="AA107">
        <v>5</v>
      </c>
      <c r="AB107" t="s">
        <v>113</v>
      </c>
      <c r="AC107" t="s">
        <v>36</v>
      </c>
      <c r="AD107">
        <v>2025</v>
      </c>
    </row>
    <row r="108" spans="1:30" x14ac:dyDescent="0.45">
      <c r="A108" t="s">
        <v>302</v>
      </c>
      <c r="B108" t="s">
        <v>303</v>
      </c>
      <c r="C108" t="str">
        <f>_xlfn.XLOOKUP(Sales_Data[[#This Row],[Product_ID]],Product_Master[Product_ID],Product_Master[Product],"Not Found")</f>
        <v>Bi-Fold Doors</v>
      </c>
      <c r="D108" s="3">
        <v>45932</v>
      </c>
      <c r="E108" t="s">
        <v>25</v>
      </c>
      <c r="F108" t="s">
        <v>70</v>
      </c>
      <c r="G108" t="s">
        <v>116</v>
      </c>
      <c r="H108" t="s">
        <v>119</v>
      </c>
      <c r="I108" t="s">
        <v>41</v>
      </c>
      <c r="J108" t="s">
        <v>42</v>
      </c>
      <c r="K108" t="s">
        <v>43</v>
      </c>
      <c r="L108">
        <v>1</v>
      </c>
      <c r="M108">
        <v>61042</v>
      </c>
      <c r="N108">
        <v>0.2</v>
      </c>
      <c r="O108">
        <v>61042</v>
      </c>
      <c r="P108">
        <v>12208.4</v>
      </c>
      <c r="Q108">
        <v>48833.599999999999</v>
      </c>
      <c r="R108">
        <f>YEAR(Sales_Data[[#This Row],[Order_Date]])</f>
        <v>2025</v>
      </c>
      <c r="S108" t="str">
        <f>TEXT(Sales_Data[[#This Row],[Order_Date]],"mmmm")</f>
        <v>October</v>
      </c>
      <c r="T108">
        <f t="shared" si="1"/>
        <v>10</v>
      </c>
      <c r="U108" t="str">
        <f>"Q"&amp;ROUNDUP(MONTH(Sales_Data[[#This Row],[Order_Date]])/3,0)</f>
        <v>Q4</v>
      </c>
      <c r="V108" t="s">
        <v>44</v>
      </c>
      <c r="W108" t="s">
        <v>33</v>
      </c>
      <c r="X108" t="s">
        <v>34</v>
      </c>
      <c r="Y108">
        <v>4</v>
      </c>
      <c r="Z108">
        <v>18</v>
      </c>
      <c r="AA108">
        <v>3</v>
      </c>
      <c r="AB108" t="s">
        <v>35</v>
      </c>
      <c r="AC108" t="s">
        <v>36</v>
      </c>
      <c r="AD108">
        <v>2025</v>
      </c>
    </row>
    <row r="109" spans="1:30" x14ac:dyDescent="0.45">
      <c r="A109" t="s">
        <v>304</v>
      </c>
      <c r="B109" t="s">
        <v>305</v>
      </c>
      <c r="C109" t="str">
        <f>_xlfn.XLOOKUP(Sales_Data[[#This Row],[Product_ID]],Product_Master[Product_ID],Product_Master[Product],"Not Found")</f>
        <v>Casement Windows</v>
      </c>
      <c r="D109" s="3">
        <v>45974</v>
      </c>
      <c r="E109" t="s">
        <v>25</v>
      </c>
      <c r="F109" t="s">
        <v>39</v>
      </c>
      <c r="G109" t="s">
        <v>61</v>
      </c>
      <c r="H109" t="s">
        <v>83</v>
      </c>
      <c r="I109" t="s">
        <v>75</v>
      </c>
      <c r="J109" t="s">
        <v>76</v>
      </c>
      <c r="K109" t="s">
        <v>31</v>
      </c>
      <c r="L109">
        <v>4</v>
      </c>
      <c r="M109">
        <v>24027</v>
      </c>
      <c r="N109">
        <v>0.05</v>
      </c>
      <c r="O109">
        <v>96108</v>
      </c>
      <c r="P109">
        <v>4805.3999999999996</v>
      </c>
      <c r="Q109">
        <v>91302.6</v>
      </c>
      <c r="R109">
        <f>YEAR(Sales_Data[[#This Row],[Order_Date]])</f>
        <v>2025</v>
      </c>
      <c r="S109" t="str">
        <f>TEXT(Sales_Data[[#This Row],[Order_Date]],"mmmm")</f>
        <v>November</v>
      </c>
      <c r="T109">
        <f t="shared" si="1"/>
        <v>11</v>
      </c>
      <c r="U109" t="str">
        <f>"Q"&amp;ROUNDUP(MONTH(Sales_Data[[#This Row],[Order_Date]])/3,0)</f>
        <v>Q4</v>
      </c>
      <c r="V109" t="s">
        <v>32</v>
      </c>
      <c r="W109" t="s">
        <v>33</v>
      </c>
      <c r="X109" t="s">
        <v>45</v>
      </c>
      <c r="Y109">
        <v>3</v>
      </c>
      <c r="Z109">
        <v>18</v>
      </c>
      <c r="AA109">
        <v>5</v>
      </c>
      <c r="AB109" t="s">
        <v>67</v>
      </c>
      <c r="AC109" t="s">
        <v>36</v>
      </c>
      <c r="AD109">
        <v>2025</v>
      </c>
    </row>
    <row r="110" spans="1:30" x14ac:dyDescent="0.45">
      <c r="A110" t="s">
        <v>306</v>
      </c>
      <c r="B110" t="s">
        <v>307</v>
      </c>
      <c r="C110" t="str">
        <f>_xlfn.XLOOKUP(Sales_Data[[#This Row],[Product_ID]],Product_Master[Product_ID],Product_Master[Product],"Not Found")</f>
        <v>French Doors</v>
      </c>
      <c r="D110" s="3">
        <v>45725</v>
      </c>
      <c r="E110" t="s">
        <v>25</v>
      </c>
      <c r="F110" t="s">
        <v>60</v>
      </c>
      <c r="G110" t="s">
        <v>116</v>
      </c>
      <c r="H110" t="s">
        <v>88</v>
      </c>
      <c r="I110" t="s">
        <v>84</v>
      </c>
      <c r="J110" t="s">
        <v>85</v>
      </c>
      <c r="K110" t="s">
        <v>43</v>
      </c>
      <c r="L110">
        <v>4</v>
      </c>
      <c r="M110">
        <v>46748</v>
      </c>
      <c r="N110">
        <v>0.1</v>
      </c>
      <c r="O110">
        <v>186992</v>
      </c>
      <c r="P110">
        <v>18699.2</v>
      </c>
      <c r="Q110">
        <v>168292.8</v>
      </c>
      <c r="R110">
        <f>YEAR(Sales_Data[[#This Row],[Order_Date]])</f>
        <v>2025</v>
      </c>
      <c r="S110" t="str">
        <f>TEXT(Sales_Data[[#This Row],[Order_Date]],"mmmm")</f>
        <v>March</v>
      </c>
      <c r="T110">
        <f t="shared" si="1"/>
        <v>3</v>
      </c>
      <c r="U110" t="str">
        <f>"Q"&amp;ROUNDUP(MONTH(Sales_Data[[#This Row],[Order_Date]])/3,0)</f>
        <v>Q1</v>
      </c>
      <c r="V110" t="s">
        <v>44</v>
      </c>
      <c r="W110" t="s">
        <v>33</v>
      </c>
      <c r="X110" t="s">
        <v>66</v>
      </c>
      <c r="Y110">
        <v>6</v>
      </c>
      <c r="Z110">
        <v>16</v>
      </c>
      <c r="AA110">
        <v>4</v>
      </c>
      <c r="AB110" t="s">
        <v>130</v>
      </c>
      <c r="AC110" t="s">
        <v>56</v>
      </c>
      <c r="AD110">
        <v>2025</v>
      </c>
    </row>
    <row r="111" spans="1:30" x14ac:dyDescent="0.45">
      <c r="A111" t="s">
        <v>308</v>
      </c>
      <c r="B111" t="s">
        <v>309</v>
      </c>
      <c r="C111" t="str">
        <f>_xlfn.XLOOKUP(Sales_Data[[#This Row],[Product_ID]],Product_Master[Product_ID],Product_Master[Product],"Not Found")</f>
        <v>uPVC Doors</v>
      </c>
      <c r="D111" s="3">
        <v>46018</v>
      </c>
      <c r="E111" t="s">
        <v>25</v>
      </c>
      <c r="F111" t="s">
        <v>39</v>
      </c>
      <c r="G111" t="s">
        <v>111</v>
      </c>
      <c r="H111" t="s">
        <v>71</v>
      </c>
      <c r="I111" t="s">
        <v>107</v>
      </c>
      <c r="J111" t="s">
        <v>108</v>
      </c>
      <c r="K111" t="s">
        <v>43</v>
      </c>
      <c r="L111">
        <v>1</v>
      </c>
      <c r="M111">
        <v>29017</v>
      </c>
      <c r="N111">
        <v>0.05</v>
      </c>
      <c r="O111">
        <v>29017</v>
      </c>
      <c r="P111">
        <v>1450.85</v>
      </c>
      <c r="Q111">
        <v>27566.15</v>
      </c>
      <c r="R111">
        <f>YEAR(Sales_Data[[#This Row],[Order_Date]])</f>
        <v>2025</v>
      </c>
      <c r="S111" t="str">
        <f>TEXT(Sales_Data[[#This Row],[Order_Date]],"mmmm")</f>
        <v>December</v>
      </c>
      <c r="T111">
        <f t="shared" si="1"/>
        <v>12</v>
      </c>
      <c r="U111" t="str">
        <f>"Q"&amp;ROUNDUP(MONTH(Sales_Data[[#This Row],[Order_Date]])/3,0)</f>
        <v>Q4</v>
      </c>
      <c r="V111" t="s">
        <v>32</v>
      </c>
      <c r="W111" t="s">
        <v>33</v>
      </c>
      <c r="X111" t="s">
        <v>66</v>
      </c>
      <c r="Y111">
        <v>3</v>
      </c>
      <c r="Z111">
        <v>14</v>
      </c>
      <c r="AA111">
        <v>5</v>
      </c>
      <c r="AB111" t="s">
        <v>113</v>
      </c>
      <c r="AC111" t="s">
        <v>36</v>
      </c>
      <c r="AD111">
        <v>2025</v>
      </c>
    </row>
    <row r="112" spans="1:30" x14ac:dyDescent="0.45">
      <c r="A112" t="s">
        <v>310</v>
      </c>
      <c r="B112" t="s">
        <v>311</v>
      </c>
      <c r="C112" t="str">
        <f>_xlfn.XLOOKUP(Sales_Data[[#This Row],[Product_ID]],Product_Master[Product_ID],Product_Master[Product],"Not Found")</f>
        <v>French Doors</v>
      </c>
      <c r="D112" s="3">
        <v>46010</v>
      </c>
      <c r="E112" t="s">
        <v>25</v>
      </c>
      <c r="F112" t="s">
        <v>60</v>
      </c>
      <c r="G112" t="s">
        <v>111</v>
      </c>
      <c r="H112" t="s">
        <v>119</v>
      </c>
      <c r="I112" t="s">
        <v>84</v>
      </c>
      <c r="J112" t="s">
        <v>85</v>
      </c>
      <c r="K112" t="s">
        <v>43</v>
      </c>
      <c r="L112">
        <v>2</v>
      </c>
      <c r="M112">
        <v>42659</v>
      </c>
      <c r="N112">
        <v>0.05</v>
      </c>
      <c r="O112">
        <v>85318</v>
      </c>
      <c r="P112">
        <v>4265.8999999999996</v>
      </c>
      <c r="Q112">
        <v>81052.100000000006</v>
      </c>
      <c r="R112">
        <f>YEAR(Sales_Data[[#This Row],[Order_Date]])</f>
        <v>2025</v>
      </c>
      <c r="S112" t="str">
        <f>TEXT(Sales_Data[[#This Row],[Order_Date]],"mmmm")</f>
        <v>December</v>
      </c>
      <c r="T112">
        <f t="shared" si="1"/>
        <v>12</v>
      </c>
      <c r="U112" t="str">
        <f>"Q"&amp;ROUNDUP(MONTH(Sales_Data[[#This Row],[Order_Date]])/3,0)</f>
        <v>Q4</v>
      </c>
      <c r="V112" t="s">
        <v>32</v>
      </c>
      <c r="W112" t="s">
        <v>33</v>
      </c>
      <c r="X112" t="s">
        <v>66</v>
      </c>
      <c r="Y112">
        <v>1</v>
      </c>
      <c r="Z112">
        <v>13</v>
      </c>
      <c r="AA112">
        <v>5</v>
      </c>
      <c r="AB112" t="s">
        <v>113</v>
      </c>
      <c r="AC112" t="s">
        <v>36</v>
      </c>
      <c r="AD112">
        <v>2025</v>
      </c>
    </row>
    <row r="113" spans="1:30" x14ac:dyDescent="0.45">
      <c r="A113" t="s">
        <v>312</v>
      </c>
      <c r="B113" t="s">
        <v>313</v>
      </c>
      <c r="C113" t="str">
        <f>_xlfn.XLOOKUP(Sales_Data[[#This Row],[Product_ID]],Product_Master[Product_ID],Product_Master[Product],"Not Found")</f>
        <v>French Doors</v>
      </c>
      <c r="D113" s="3">
        <v>45729</v>
      </c>
      <c r="E113" t="s">
        <v>25</v>
      </c>
      <c r="F113" t="s">
        <v>39</v>
      </c>
      <c r="G113" t="s">
        <v>82</v>
      </c>
      <c r="H113" t="s">
        <v>51</v>
      </c>
      <c r="I113" t="s">
        <v>84</v>
      </c>
      <c r="J113" t="s">
        <v>85</v>
      </c>
      <c r="K113" t="s">
        <v>43</v>
      </c>
      <c r="L113">
        <v>5</v>
      </c>
      <c r="M113">
        <v>45297</v>
      </c>
      <c r="N113">
        <v>0.1</v>
      </c>
      <c r="O113">
        <v>226485</v>
      </c>
      <c r="P113">
        <v>22648.5</v>
      </c>
      <c r="Q113">
        <v>203836.5</v>
      </c>
      <c r="R113">
        <f>YEAR(Sales_Data[[#This Row],[Order_Date]])</f>
        <v>2025</v>
      </c>
      <c r="S113" t="str">
        <f>TEXT(Sales_Data[[#This Row],[Order_Date]],"mmmm")</f>
        <v>March</v>
      </c>
      <c r="T113">
        <f t="shared" si="1"/>
        <v>3</v>
      </c>
      <c r="U113" t="str">
        <f>"Q"&amp;ROUNDUP(MONTH(Sales_Data[[#This Row],[Order_Date]])/3,0)</f>
        <v>Q1</v>
      </c>
      <c r="V113" t="s">
        <v>122</v>
      </c>
      <c r="W113" t="s">
        <v>54</v>
      </c>
      <c r="X113" t="s">
        <v>45</v>
      </c>
      <c r="Y113">
        <v>3</v>
      </c>
      <c r="Z113">
        <v>18</v>
      </c>
      <c r="AA113">
        <v>2</v>
      </c>
      <c r="AB113" t="s">
        <v>130</v>
      </c>
      <c r="AC113" t="s">
        <v>56</v>
      </c>
      <c r="AD113">
        <v>2025</v>
      </c>
    </row>
    <row r="114" spans="1:30" x14ac:dyDescent="0.45">
      <c r="A114" t="s">
        <v>314</v>
      </c>
      <c r="B114" t="s">
        <v>315</v>
      </c>
      <c r="C114" t="str">
        <f>_xlfn.XLOOKUP(Sales_Data[[#This Row],[Product_ID]],Product_Master[Product_ID],Product_Master[Product],"Not Found")</f>
        <v>uPVC Windows</v>
      </c>
      <c r="D114" s="3">
        <v>45989</v>
      </c>
      <c r="E114" t="s">
        <v>25</v>
      </c>
      <c r="F114" t="s">
        <v>70</v>
      </c>
      <c r="G114" t="s">
        <v>82</v>
      </c>
      <c r="H114" t="s">
        <v>71</v>
      </c>
      <c r="I114" t="s">
        <v>62</v>
      </c>
      <c r="J114" t="s">
        <v>63</v>
      </c>
      <c r="K114" t="s">
        <v>31</v>
      </c>
      <c r="L114">
        <v>2</v>
      </c>
      <c r="M114">
        <v>17644</v>
      </c>
      <c r="N114">
        <v>0.15</v>
      </c>
      <c r="O114">
        <v>35288</v>
      </c>
      <c r="P114">
        <v>5293.2</v>
      </c>
      <c r="Q114">
        <v>29994.799999999999</v>
      </c>
      <c r="R114">
        <f>YEAR(Sales_Data[[#This Row],[Order_Date]])</f>
        <v>2025</v>
      </c>
      <c r="S114" t="str">
        <f>TEXT(Sales_Data[[#This Row],[Order_Date]],"mmmm")</f>
        <v>November</v>
      </c>
      <c r="T114">
        <f t="shared" si="1"/>
        <v>11</v>
      </c>
      <c r="U114" t="str">
        <f>"Q"&amp;ROUNDUP(MONTH(Sales_Data[[#This Row],[Order_Date]])/3,0)</f>
        <v>Q4</v>
      </c>
      <c r="V114" t="s">
        <v>44</v>
      </c>
      <c r="W114" t="s">
        <v>54</v>
      </c>
      <c r="X114" t="s">
        <v>34</v>
      </c>
      <c r="Y114">
        <v>6</v>
      </c>
      <c r="Z114">
        <v>22</v>
      </c>
      <c r="AA114">
        <v>3</v>
      </c>
      <c r="AB114" t="s">
        <v>67</v>
      </c>
      <c r="AC114" t="s">
        <v>36</v>
      </c>
      <c r="AD114">
        <v>2025</v>
      </c>
    </row>
    <row r="115" spans="1:30" x14ac:dyDescent="0.45">
      <c r="A115" t="s">
        <v>316</v>
      </c>
      <c r="B115" t="s">
        <v>317</v>
      </c>
      <c r="C115" t="str">
        <f>_xlfn.XLOOKUP(Sales_Data[[#This Row],[Product_ID]],Product_Master[Product_ID],Product_Master[Product],"Not Found")</f>
        <v>uPVC Windows</v>
      </c>
      <c r="D115" s="3">
        <v>45696</v>
      </c>
      <c r="E115" t="s">
        <v>59</v>
      </c>
      <c r="F115" t="s">
        <v>26</v>
      </c>
      <c r="G115" t="s">
        <v>82</v>
      </c>
      <c r="H115" t="s">
        <v>112</v>
      </c>
      <c r="I115" t="s">
        <v>62</v>
      </c>
      <c r="J115" t="s">
        <v>63</v>
      </c>
      <c r="K115" t="s">
        <v>31</v>
      </c>
      <c r="L115">
        <v>4</v>
      </c>
      <c r="M115">
        <v>16973</v>
      </c>
      <c r="N115">
        <v>0.1</v>
      </c>
      <c r="O115">
        <v>67892</v>
      </c>
      <c r="P115">
        <v>6789.2</v>
      </c>
      <c r="Q115">
        <v>61102.8</v>
      </c>
      <c r="R115">
        <f>YEAR(Sales_Data[[#This Row],[Order_Date]])</f>
        <v>2025</v>
      </c>
      <c r="S115" t="str">
        <f>TEXT(Sales_Data[[#This Row],[Order_Date]],"mmmm")</f>
        <v>February</v>
      </c>
      <c r="T115">
        <f t="shared" si="1"/>
        <v>2</v>
      </c>
      <c r="U115" t="str">
        <f>"Q"&amp;ROUNDUP(MONTH(Sales_Data[[#This Row],[Order_Date]])/3,0)</f>
        <v>Q1</v>
      </c>
      <c r="V115" t="s">
        <v>98</v>
      </c>
      <c r="W115" t="s">
        <v>54</v>
      </c>
      <c r="X115" t="s">
        <v>66</v>
      </c>
      <c r="Y115">
        <v>1</v>
      </c>
      <c r="Z115">
        <v>16</v>
      </c>
      <c r="AA115">
        <v>4</v>
      </c>
      <c r="AB115" t="s">
        <v>55</v>
      </c>
      <c r="AC115" t="s">
        <v>56</v>
      </c>
      <c r="AD115">
        <v>2025</v>
      </c>
    </row>
    <row r="116" spans="1:30" x14ac:dyDescent="0.45">
      <c r="A116" t="s">
        <v>318</v>
      </c>
      <c r="B116" t="s">
        <v>319</v>
      </c>
      <c r="C116" t="str">
        <f>_xlfn.XLOOKUP(Sales_Data[[#This Row],[Product_ID]],Product_Master[Product_ID],Product_Master[Product],"Not Found")</f>
        <v>uPVC Windows</v>
      </c>
      <c r="D116" s="3">
        <v>45968</v>
      </c>
      <c r="E116" t="s">
        <v>25</v>
      </c>
      <c r="F116" t="s">
        <v>39</v>
      </c>
      <c r="G116" t="s">
        <v>139</v>
      </c>
      <c r="H116" t="s">
        <v>88</v>
      </c>
      <c r="I116" t="s">
        <v>62</v>
      </c>
      <c r="J116" t="s">
        <v>63</v>
      </c>
      <c r="K116" t="s">
        <v>31</v>
      </c>
      <c r="L116">
        <v>5</v>
      </c>
      <c r="M116">
        <v>17997</v>
      </c>
      <c r="N116">
        <v>0.15</v>
      </c>
      <c r="O116">
        <v>89985</v>
      </c>
      <c r="P116">
        <v>13497.75</v>
      </c>
      <c r="Q116">
        <v>76487.25</v>
      </c>
      <c r="R116">
        <f>YEAR(Sales_Data[[#This Row],[Order_Date]])</f>
        <v>2025</v>
      </c>
      <c r="S116" t="str">
        <f>TEXT(Sales_Data[[#This Row],[Order_Date]],"mmmm")</f>
        <v>November</v>
      </c>
      <c r="T116">
        <f t="shared" si="1"/>
        <v>11</v>
      </c>
      <c r="U116" t="str">
        <f>"Q"&amp;ROUNDUP(MONTH(Sales_Data[[#This Row],[Order_Date]])/3,0)</f>
        <v>Q4</v>
      </c>
      <c r="V116" t="s">
        <v>32</v>
      </c>
      <c r="W116" t="s">
        <v>54</v>
      </c>
      <c r="X116" t="s">
        <v>45</v>
      </c>
      <c r="Y116">
        <v>5</v>
      </c>
      <c r="Z116">
        <v>26</v>
      </c>
      <c r="AA116">
        <v>5</v>
      </c>
      <c r="AB116" t="s">
        <v>67</v>
      </c>
      <c r="AC116" t="s">
        <v>36</v>
      </c>
      <c r="AD116">
        <v>2025</v>
      </c>
    </row>
    <row r="117" spans="1:30" x14ac:dyDescent="0.45">
      <c r="A117" t="s">
        <v>320</v>
      </c>
      <c r="B117" t="s">
        <v>321</v>
      </c>
      <c r="C117" t="str">
        <f>_xlfn.XLOOKUP(Sales_Data[[#This Row],[Product_ID]],Product_Master[Product_ID],Product_Master[Product],"Not Found")</f>
        <v>French Doors</v>
      </c>
      <c r="D117" s="3">
        <v>45756</v>
      </c>
      <c r="E117" t="s">
        <v>25</v>
      </c>
      <c r="F117" t="s">
        <v>60</v>
      </c>
      <c r="G117" t="s">
        <v>50</v>
      </c>
      <c r="H117" t="s">
        <v>83</v>
      </c>
      <c r="I117" t="s">
        <v>84</v>
      </c>
      <c r="J117" t="s">
        <v>85</v>
      </c>
      <c r="K117" t="s">
        <v>43</v>
      </c>
      <c r="L117">
        <v>5</v>
      </c>
      <c r="M117">
        <v>40691</v>
      </c>
      <c r="N117">
        <v>0.05</v>
      </c>
      <c r="O117">
        <v>203455</v>
      </c>
      <c r="P117">
        <v>10172.75</v>
      </c>
      <c r="Q117">
        <v>193282.25</v>
      </c>
      <c r="R117">
        <f>YEAR(Sales_Data[[#This Row],[Order_Date]])</f>
        <v>2025</v>
      </c>
      <c r="S117" t="str">
        <f>TEXT(Sales_Data[[#This Row],[Order_Date]],"mmmm")</f>
        <v>April</v>
      </c>
      <c r="T117">
        <f t="shared" si="1"/>
        <v>4</v>
      </c>
      <c r="U117" t="str">
        <f>"Q"&amp;ROUNDUP(MONTH(Sales_Data[[#This Row],[Order_Date]])/3,0)</f>
        <v>Q2</v>
      </c>
      <c r="V117" t="s">
        <v>64</v>
      </c>
      <c r="W117" t="s">
        <v>54</v>
      </c>
      <c r="X117" t="s">
        <v>66</v>
      </c>
      <c r="Y117">
        <v>7</v>
      </c>
      <c r="Z117">
        <v>13</v>
      </c>
      <c r="AA117">
        <v>4</v>
      </c>
      <c r="AB117" t="s">
        <v>77</v>
      </c>
      <c r="AC117" t="s">
        <v>47</v>
      </c>
      <c r="AD117">
        <v>2025</v>
      </c>
    </row>
    <row r="118" spans="1:30" x14ac:dyDescent="0.45">
      <c r="A118" t="s">
        <v>322</v>
      </c>
      <c r="B118" t="s">
        <v>323</v>
      </c>
      <c r="C118" t="str">
        <f>_xlfn.XLOOKUP(Sales_Data[[#This Row],[Product_ID]],Product_Master[Product_ID],Product_Master[Product],"Not Found")</f>
        <v>Soundproof Windows</v>
      </c>
      <c r="D118" s="3">
        <v>45732</v>
      </c>
      <c r="E118" t="s">
        <v>25</v>
      </c>
      <c r="F118" t="s">
        <v>39</v>
      </c>
      <c r="G118" t="s">
        <v>61</v>
      </c>
      <c r="H118" t="s">
        <v>88</v>
      </c>
      <c r="I118" t="s">
        <v>29</v>
      </c>
      <c r="J118" t="s">
        <v>30</v>
      </c>
      <c r="K118" t="s">
        <v>31</v>
      </c>
      <c r="L118">
        <v>2</v>
      </c>
      <c r="M118">
        <v>47640</v>
      </c>
      <c r="N118">
        <v>0</v>
      </c>
      <c r="O118">
        <v>95280</v>
      </c>
      <c r="P118">
        <v>0</v>
      </c>
      <c r="Q118">
        <v>95280</v>
      </c>
      <c r="R118">
        <f>YEAR(Sales_Data[[#This Row],[Order_Date]])</f>
        <v>2025</v>
      </c>
      <c r="S118" t="str">
        <f>TEXT(Sales_Data[[#This Row],[Order_Date]],"mmmm")</f>
        <v>March</v>
      </c>
      <c r="T118">
        <f t="shared" si="1"/>
        <v>3</v>
      </c>
      <c r="U118" t="str">
        <f>"Q"&amp;ROUNDUP(MONTH(Sales_Data[[#This Row],[Order_Date]])/3,0)</f>
        <v>Q1</v>
      </c>
      <c r="V118" t="s">
        <v>44</v>
      </c>
      <c r="W118" t="s">
        <v>33</v>
      </c>
      <c r="X118" t="s">
        <v>34</v>
      </c>
      <c r="Y118">
        <v>5</v>
      </c>
      <c r="Z118">
        <v>28</v>
      </c>
      <c r="AA118">
        <v>5</v>
      </c>
      <c r="AB118" t="s">
        <v>130</v>
      </c>
      <c r="AC118" t="s">
        <v>56</v>
      </c>
      <c r="AD118">
        <v>2025</v>
      </c>
    </row>
    <row r="119" spans="1:30" x14ac:dyDescent="0.45">
      <c r="A119" t="s">
        <v>324</v>
      </c>
      <c r="B119" t="s">
        <v>325</v>
      </c>
      <c r="C119" t="str">
        <f>_xlfn.XLOOKUP(Sales_Data[[#This Row],[Product_ID]],Product_Master[Product_ID],Product_Master[Product],"Not Found")</f>
        <v>Aluminium Windows</v>
      </c>
      <c r="D119" s="3">
        <v>45961</v>
      </c>
      <c r="E119" t="s">
        <v>59</v>
      </c>
      <c r="F119" t="s">
        <v>70</v>
      </c>
      <c r="G119" t="s">
        <v>111</v>
      </c>
      <c r="H119" t="s">
        <v>83</v>
      </c>
      <c r="I119" t="s">
        <v>52</v>
      </c>
      <c r="J119" t="s">
        <v>53</v>
      </c>
      <c r="K119" t="s">
        <v>31</v>
      </c>
      <c r="L119">
        <v>4</v>
      </c>
      <c r="M119">
        <v>22458</v>
      </c>
      <c r="N119">
        <v>0.15</v>
      </c>
      <c r="O119">
        <v>89832</v>
      </c>
      <c r="P119">
        <v>13474.8</v>
      </c>
      <c r="Q119">
        <v>76357.2</v>
      </c>
      <c r="R119">
        <f>YEAR(Sales_Data[[#This Row],[Order_Date]])</f>
        <v>2025</v>
      </c>
      <c r="S119" t="str">
        <f>TEXT(Sales_Data[[#This Row],[Order_Date]],"mmmm")</f>
        <v>October</v>
      </c>
      <c r="T119">
        <f t="shared" si="1"/>
        <v>10</v>
      </c>
      <c r="U119" t="str">
        <f>"Q"&amp;ROUNDUP(MONTH(Sales_Data[[#This Row],[Order_Date]])/3,0)</f>
        <v>Q4</v>
      </c>
      <c r="V119" t="s">
        <v>32</v>
      </c>
      <c r="W119" t="s">
        <v>33</v>
      </c>
      <c r="X119" t="s">
        <v>66</v>
      </c>
      <c r="Y119">
        <v>7</v>
      </c>
      <c r="Z119">
        <v>15</v>
      </c>
      <c r="AA119">
        <v>5</v>
      </c>
      <c r="AB119" t="s">
        <v>35</v>
      </c>
      <c r="AC119" t="s">
        <v>36</v>
      </c>
      <c r="AD119">
        <v>2025</v>
      </c>
    </row>
    <row r="120" spans="1:30" x14ac:dyDescent="0.45">
      <c r="A120" t="s">
        <v>326</v>
      </c>
      <c r="B120" t="s">
        <v>327</v>
      </c>
      <c r="C120" t="str">
        <f>_xlfn.XLOOKUP(Sales_Data[[#This Row],[Product_ID]],Product_Master[Product_ID],Product_Master[Product],"Not Found")</f>
        <v>Casement Windows</v>
      </c>
      <c r="D120" s="3">
        <v>45994</v>
      </c>
      <c r="E120" t="s">
        <v>59</v>
      </c>
      <c r="F120" t="s">
        <v>70</v>
      </c>
      <c r="G120" t="s">
        <v>27</v>
      </c>
      <c r="H120" t="s">
        <v>119</v>
      </c>
      <c r="I120" t="s">
        <v>75</v>
      </c>
      <c r="J120" t="s">
        <v>76</v>
      </c>
      <c r="K120" t="s">
        <v>31</v>
      </c>
      <c r="L120">
        <v>1</v>
      </c>
      <c r="M120">
        <v>28905</v>
      </c>
      <c r="N120">
        <v>0.15</v>
      </c>
      <c r="O120">
        <v>28905</v>
      </c>
      <c r="P120">
        <v>4335.75</v>
      </c>
      <c r="Q120">
        <v>24569.25</v>
      </c>
      <c r="R120">
        <f>YEAR(Sales_Data[[#This Row],[Order_Date]])</f>
        <v>2025</v>
      </c>
      <c r="S120" t="str">
        <f>TEXT(Sales_Data[[#This Row],[Order_Date]],"mmmm")</f>
        <v>December</v>
      </c>
      <c r="T120">
        <f t="shared" si="1"/>
        <v>12</v>
      </c>
      <c r="U120" t="str">
        <f>"Q"&amp;ROUNDUP(MONTH(Sales_Data[[#This Row],[Order_Date]])/3,0)</f>
        <v>Q4</v>
      </c>
      <c r="V120" t="s">
        <v>32</v>
      </c>
      <c r="W120" t="s">
        <v>33</v>
      </c>
      <c r="X120" t="s">
        <v>34</v>
      </c>
      <c r="Y120">
        <v>7</v>
      </c>
      <c r="Z120">
        <v>27</v>
      </c>
      <c r="AA120">
        <v>1</v>
      </c>
      <c r="AB120" t="s">
        <v>113</v>
      </c>
      <c r="AC120" t="s">
        <v>36</v>
      </c>
      <c r="AD120">
        <v>2025</v>
      </c>
    </row>
    <row r="121" spans="1:30" x14ac:dyDescent="0.45">
      <c r="A121" t="s">
        <v>328</v>
      </c>
      <c r="B121" t="s">
        <v>329</v>
      </c>
      <c r="C121" t="str">
        <f>_xlfn.XLOOKUP(Sales_Data[[#This Row],[Product_ID]],Product_Master[Product_ID],Product_Master[Product],"Not Found")</f>
        <v>Soundproof Windows</v>
      </c>
      <c r="D121" s="3">
        <v>45679</v>
      </c>
      <c r="E121" t="s">
        <v>25</v>
      </c>
      <c r="F121" t="s">
        <v>26</v>
      </c>
      <c r="G121" t="s">
        <v>61</v>
      </c>
      <c r="H121" t="s">
        <v>112</v>
      </c>
      <c r="I121" t="s">
        <v>29</v>
      </c>
      <c r="J121" t="s">
        <v>30</v>
      </c>
      <c r="K121" t="s">
        <v>31</v>
      </c>
      <c r="L121">
        <v>5</v>
      </c>
      <c r="M121">
        <v>43566</v>
      </c>
      <c r="N121">
        <v>0.15</v>
      </c>
      <c r="O121">
        <v>217830</v>
      </c>
      <c r="P121">
        <v>32674.5</v>
      </c>
      <c r="Q121">
        <v>185155.5</v>
      </c>
      <c r="R121">
        <f>YEAR(Sales_Data[[#This Row],[Order_Date]])</f>
        <v>2025</v>
      </c>
      <c r="S121" t="str">
        <f>TEXT(Sales_Data[[#This Row],[Order_Date]],"mmmm")</f>
        <v>January</v>
      </c>
      <c r="T121">
        <f t="shared" si="1"/>
        <v>1</v>
      </c>
      <c r="U121" t="str">
        <f>"Q"&amp;ROUNDUP(MONTH(Sales_Data[[#This Row],[Order_Date]])/3,0)</f>
        <v>Q1</v>
      </c>
      <c r="V121" t="s">
        <v>44</v>
      </c>
      <c r="W121" t="s">
        <v>54</v>
      </c>
      <c r="X121" t="s">
        <v>45</v>
      </c>
      <c r="Y121">
        <v>3</v>
      </c>
      <c r="Z121">
        <v>28</v>
      </c>
      <c r="AA121">
        <v>4</v>
      </c>
      <c r="AB121" t="s">
        <v>144</v>
      </c>
      <c r="AC121" t="s">
        <v>56</v>
      </c>
      <c r="AD121">
        <v>2025</v>
      </c>
    </row>
    <row r="122" spans="1:30" x14ac:dyDescent="0.45">
      <c r="A122" t="s">
        <v>330</v>
      </c>
      <c r="B122" t="s">
        <v>331</v>
      </c>
      <c r="C122" t="str">
        <f>_xlfn.XLOOKUP(Sales_Data[[#This Row],[Product_ID]],Product_Master[Product_ID],Product_Master[Product],"Not Found")</f>
        <v>Aluminium Windows</v>
      </c>
      <c r="D122" s="3">
        <v>45891</v>
      </c>
      <c r="E122" t="s">
        <v>25</v>
      </c>
      <c r="F122" t="s">
        <v>26</v>
      </c>
      <c r="G122" t="s">
        <v>82</v>
      </c>
      <c r="H122" t="s">
        <v>88</v>
      </c>
      <c r="I122" t="s">
        <v>52</v>
      </c>
      <c r="J122" t="s">
        <v>53</v>
      </c>
      <c r="K122" t="s">
        <v>31</v>
      </c>
      <c r="L122">
        <v>4</v>
      </c>
      <c r="M122">
        <v>23688</v>
      </c>
      <c r="N122">
        <v>0</v>
      </c>
      <c r="O122">
        <v>94752</v>
      </c>
      <c r="P122">
        <v>0</v>
      </c>
      <c r="Q122">
        <v>94752</v>
      </c>
      <c r="R122">
        <f>YEAR(Sales_Data[[#This Row],[Order_Date]])</f>
        <v>2025</v>
      </c>
      <c r="S122" t="str">
        <f>TEXT(Sales_Data[[#This Row],[Order_Date]],"mmmm")</f>
        <v>August</v>
      </c>
      <c r="T122">
        <f t="shared" si="1"/>
        <v>8</v>
      </c>
      <c r="U122" t="str">
        <f>"Q"&amp;ROUNDUP(MONTH(Sales_Data[[#This Row],[Order_Date]])/3,0)</f>
        <v>Q3</v>
      </c>
      <c r="V122" t="s">
        <v>32</v>
      </c>
      <c r="W122" t="s">
        <v>54</v>
      </c>
      <c r="X122" t="s">
        <v>45</v>
      </c>
      <c r="Y122">
        <v>7</v>
      </c>
      <c r="Z122">
        <v>18</v>
      </c>
      <c r="AA122">
        <v>3</v>
      </c>
      <c r="AB122" t="s">
        <v>123</v>
      </c>
      <c r="AC122" t="s">
        <v>90</v>
      </c>
      <c r="AD122">
        <v>2025</v>
      </c>
    </row>
    <row r="123" spans="1:30" x14ac:dyDescent="0.45">
      <c r="A123" t="s">
        <v>332</v>
      </c>
      <c r="B123" t="s">
        <v>333</v>
      </c>
      <c r="C123" t="str">
        <f>_xlfn.XLOOKUP(Sales_Data[[#This Row],[Product_ID]],Product_Master[Product_ID],Product_Master[Product],"Not Found")</f>
        <v>uPVC Doors</v>
      </c>
      <c r="D123" s="3">
        <v>45684</v>
      </c>
      <c r="E123" t="s">
        <v>59</v>
      </c>
      <c r="F123" t="s">
        <v>39</v>
      </c>
      <c r="G123" t="s">
        <v>116</v>
      </c>
      <c r="H123" t="s">
        <v>112</v>
      </c>
      <c r="I123" t="s">
        <v>107</v>
      </c>
      <c r="J123" t="s">
        <v>108</v>
      </c>
      <c r="K123" t="s">
        <v>43</v>
      </c>
      <c r="L123">
        <v>6</v>
      </c>
      <c r="M123">
        <v>29411</v>
      </c>
      <c r="N123">
        <v>0.1</v>
      </c>
      <c r="O123">
        <v>176466</v>
      </c>
      <c r="P123">
        <v>17646.599999999999</v>
      </c>
      <c r="Q123">
        <v>158819.4</v>
      </c>
      <c r="R123">
        <f>YEAR(Sales_Data[[#This Row],[Order_Date]])</f>
        <v>2025</v>
      </c>
      <c r="S123" t="str">
        <f>TEXT(Sales_Data[[#This Row],[Order_Date]],"mmmm")</f>
        <v>January</v>
      </c>
      <c r="T123">
        <f t="shared" si="1"/>
        <v>1</v>
      </c>
      <c r="U123" t="str">
        <f>"Q"&amp;ROUNDUP(MONTH(Sales_Data[[#This Row],[Order_Date]])/3,0)</f>
        <v>Q1</v>
      </c>
      <c r="V123" t="s">
        <v>122</v>
      </c>
      <c r="W123" t="s">
        <v>33</v>
      </c>
      <c r="X123" t="s">
        <v>45</v>
      </c>
      <c r="Y123">
        <v>1</v>
      </c>
      <c r="Z123">
        <v>29</v>
      </c>
      <c r="AA123">
        <v>3</v>
      </c>
      <c r="AB123" t="s">
        <v>144</v>
      </c>
      <c r="AC123" t="s">
        <v>56</v>
      </c>
      <c r="AD123">
        <v>2025</v>
      </c>
    </row>
    <row r="124" spans="1:30" x14ac:dyDescent="0.45">
      <c r="A124" t="s">
        <v>334</v>
      </c>
      <c r="B124" t="s">
        <v>335</v>
      </c>
      <c r="C124" t="str">
        <f>_xlfn.XLOOKUP(Sales_Data[[#This Row],[Product_ID]],Product_Master[Product_ID],Product_Master[Product],"Not Found")</f>
        <v>French Doors</v>
      </c>
      <c r="D124" s="3">
        <v>45862</v>
      </c>
      <c r="E124" t="s">
        <v>59</v>
      </c>
      <c r="F124" t="s">
        <v>70</v>
      </c>
      <c r="G124" t="s">
        <v>27</v>
      </c>
      <c r="H124" t="s">
        <v>51</v>
      </c>
      <c r="I124" t="s">
        <v>84</v>
      </c>
      <c r="J124" t="s">
        <v>85</v>
      </c>
      <c r="K124" t="s">
        <v>43</v>
      </c>
      <c r="L124">
        <v>3</v>
      </c>
      <c r="M124">
        <v>45941</v>
      </c>
      <c r="N124">
        <v>0.05</v>
      </c>
      <c r="O124">
        <v>137823</v>
      </c>
      <c r="P124">
        <v>6891.15</v>
      </c>
      <c r="Q124">
        <v>130931.85</v>
      </c>
      <c r="R124">
        <f>YEAR(Sales_Data[[#This Row],[Order_Date]])</f>
        <v>2025</v>
      </c>
      <c r="S124" t="str">
        <f>TEXT(Sales_Data[[#This Row],[Order_Date]],"mmmm")</f>
        <v>July</v>
      </c>
      <c r="T124">
        <f t="shared" si="1"/>
        <v>7</v>
      </c>
      <c r="U124" t="str">
        <f>"Q"&amp;ROUNDUP(MONTH(Sales_Data[[#This Row],[Order_Date]])/3,0)</f>
        <v>Q3</v>
      </c>
      <c r="V124" t="s">
        <v>32</v>
      </c>
      <c r="W124" t="s">
        <v>65</v>
      </c>
      <c r="X124" t="s">
        <v>45</v>
      </c>
      <c r="Y124">
        <v>4</v>
      </c>
      <c r="Z124">
        <v>21</v>
      </c>
      <c r="AA124">
        <v>4</v>
      </c>
      <c r="AB124" t="s">
        <v>155</v>
      </c>
      <c r="AC124" t="s">
        <v>90</v>
      </c>
      <c r="AD124">
        <v>2025</v>
      </c>
    </row>
    <row r="125" spans="1:30" x14ac:dyDescent="0.45">
      <c r="A125" t="s">
        <v>336</v>
      </c>
      <c r="B125" t="s">
        <v>337</v>
      </c>
      <c r="C125" t="str">
        <f>_xlfn.XLOOKUP(Sales_Data[[#This Row],[Product_ID]],Product_Master[Product_ID],Product_Master[Product],"Not Found")</f>
        <v>uPVC Doors</v>
      </c>
      <c r="D125" s="3">
        <v>45898</v>
      </c>
      <c r="E125" t="s">
        <v>25</v>
      </c>
      <c r="F125" t="s">
        <v>60</v>
      </c>
      <c r="G125" t="s">
        <v>116</v>
      </c>
      <c r="H125" t="s">
        <v>88</v>
      </c>
      <c r="I125" t="s">
        <v>107</v>
      </c>
      <c r="J125" t="s">
        <v>108</v>
      </c>
      <c r="K125" t="s">
        <v>43</v>
      </c>
      <c r="L125">
        <v>2</v>
      </c>
      <c r="M125">
        <v>32872</v>
      </c>
      <c r="N125">
        <v>0.1</v>
      </c>
      <c r="O125">
        <v>65744</v>
      </c>
      <c r="P125">
        <v>6574.4</v>
      </c>
      <c r="Q125">
        <v>59169.599999999999</v>
      </c>
      <c r="R125">
        <f>YEAR(Sales_Data[[#This Row],[Order_Date]])</f>
        <v>2025</v>
      </c>
      <c r="S125" t="str">
        <f>TEXT(Sales_Data[[#This Row],[Order_Date]],"mmmm")</f>
        <v>August</v>
      </c>
      <c r="T125">
        <f t="shared" si="1"/>
        <v>8</v>
      </c>
      <c r="U125" t="str">
        <f>"Q"&amp;ROUNDUP(MONTH(Sales_Data[[#This Row],[Order_Date]])/3,0)</f>
        <v>Q3</v>
      </c>
      <c r="V125" t="s">
        <v>44</v>
      </c>
      <c r="W125" t="s">
        <v>33</v>
      </c>
      <c r="X125" t="s">
        <v>45</v>
      </c>
      <c r="Y125">
        <v>4</v>
      </c>
      <c r="Z125">
        <v>29</v>
      </c>
      <c r="AA125">
        <v>2</v>
      </c>
      <c r="AB125" t="s">
        <v>123</v>
      </c>
      <c r="AC125" t="s">
        <v>90</v>
      </c>
      <c r="AD125">
        <v>2025</v>
      </c>
    </row>
    <row r="126" spans="1:30" x14ac:dyDescent="0.45">
      <c r="A126" t="s">
        <v>338</v>
      </c>
      <c r="B126" t="s">
        <v>339</v>
      </c>
      <c r="C126" t="str">
        <f>_xlfn.XLOOKUP(Sales_Data[[#This Row],[Product_ID]],Product_Master[Product_ID],Product_Master[Product],"Not Found")</f>
        <v>French Doors</v>
      </c>
      <c r="D126" s="3">
        <v>45796</v>
      </c>
      <c r="E126" t="s">
        <v>59</v>
      </c>
      <c r="F126" t="s">
        <v>26</v>
      </c>
      <c r="G126" t="s">
        <v>50</v>
      </c>
      <c r="H126" t="s">
        <v>83</v>
      </c>
      <c r="I126" t="s">
        <v>84</v>
      </c>
      <c r="J126" t="s">
        <v>85</v>
      </c>
      <c r="K126" t="s">
        <v>43</v>
      </c>
      <c r="L126">
        <v>1</v>
      </c>
      <c r="M126">
        <v>41582</v>
      </c>
      <c r="N126">
        <v>0.05</v>
      </c>
      <c r="O126">
        <v>41582</v>
      </c>
      <c r="P126">
        <v>2079.1</v>
      </c>
      <c r="Q126">
        <v>39502.9</v>
      </c>
      <c r="R126">
        <f>YEAR(Sales_Data[[#This Row],[Order_Date]])</f>
        <v>2025</v>
      </c>
      <c r="S126" t="str">
        <f>TEXT(Sales_Data[[#This Row],[Order_Date]],"mmmm")</f>
        <v>May</v>
      </c>
      <c r="T126">
        <f t="shared" si="1"/>
        <v>5</v>
      </c>
      <c r="U126" t="str">
        <f>"Q"&amp;ROUNDUP(MONTH(Sales_Data[[#This Row],[Order_Date]])/3,0)</f>
        <v>Q2</v>
      </c>
      <c r="V126" t="s">
        <v>64</v>
      </c>
      <c r="W126" t="s">
        <v>54</v>
      </c>
      <c r="X126" t="s">
        <v>45</v>
      </c>
      <c r="Y126">
        <v>1</v>
      </c>
      <c r="Z126">
        <v>10</v>
      </c>
      <c r="AA126">
        <v>4</v>
      </c>
      <c r="AB126" t="s">
        <v>72</v>
      </c>
      <c r="AC126" t="s">
        <v>47</v>
      </c>
      <c r="AD126">
        <v>2025</v>
      </c>
    </row>
    <row r="127" spans="1:30" x14ac:dyDescent="0.45">
      <c r="A127" t="s">
        <v>340</v>
      </c>
      <c r="B127" t="s">
        <v>341</v>
      </c>
      <c r="C127" t="str">
        <f>_xlfn.XLOOKUP(Sales_Data[[#This Row],[Product_ID]],Product_Master[Product_ID],Product_Master[Product],"Not Found")</f>
        <v>French Doors</v>
      </c>
      <c r="D127" s="3">
        <v>45836</v>
      </c>
      <c r="E127" t="s">
        <v>59</v>
      </c>
      <c r="F127" t="s">
        <v>39</v>
      </c>
      <c r="G127" t="s">
        <v>50</v>
      </c>
      <c r="H127" t="s">
        <v>119</v>
      </c>
      <c r="I127" t="s">
        <v>84</v>
      </c>
      <c r="J127" t="s">
        <v>85</v>
      </c>
      <c r="K127" t="s">
        <v>43</v>
      </c>
      <c r="L127">
        <v>5</v>
      </c>
      <c r="M127">
        <v>39018</v>
      </c>
      <c r="N127">
        <v>0</v>
      </c>
      <c r="O127">
        <v>195090</v>
      </c>
      <c r="P127">
        <v>0</v>
      </c>
      <c r="Q127">
        <v>195090</v>
      </c>
      <c r="R127">
        <f>YEAR(Sales_Data[[#This Row],[Order_Date]])</f>
        <v>2025</v>
      </c>
      <c r="S127" t="str">
        <f>TEXT(Sales_Data[[#This Row],[Order_Date]],"mmmm")</f>
        <v>June</v>
      </c>
      <c r="T127">
        <f t="shared" si="1"/>
        <v>6</v>
      </c>
      <c r="U127" t="str">
        <f>"Q"&amp;ROUNDUP(MONTH(Sales_Data[[#This Row],[Order_Date]])/3,0)</f>
        <v>Q2</v>
      </c>
      <c r="V127" t="s">
        <v>98</v>
      </c>
      <c r="W127" t="s">
        <v>65</v>
      </c>
      <c r="X127" t="s">
        <v>45</v>
      </c>
      <c r="Y127">
        <v>5</v>
      </c>
      <c r="Z127">
        <v>25</v>
      </c>
      <c r="AA127">
        <v>5</v>
      </c>
      <c r="AB127" t="s">
        <v>46</v>
      </c>
      <c r="AC127" t="s">
        <v>47</v>
      </c>
      <c r="AD127">
        <v>2025</v>
      </c>
    </row>
    <row r="128" spans="1:30" x14ac:dyDescent="0.45">
      <c r="A128" t="s">
        <v>342</v>
      </c>
      <c r="B128" t="s">
        <v>343</v>
      </c>
      <c r="C128" t="str">
        <f>_xlfn.XLOOKUP(Sales_Data[[#This Row],[Product_ID]],Product_Master[Product_ID],Product_Master[Product],"Not Found")</f>
        <v>Casement Windows</v>
      </c>
      <c r="D128" s="3">
        <v>45681</v>
      </c>
      <c r="E128" t="s">
        <v>59</v>
      </c>
      <c r="F128" t="s">
        <v>60</v>
      </c>
      <c r="G128" t="s">
        <v>116</v>
      </c>
      <c r="H128" t="s">
        <v>28</v>
      </c>
      <c r="I128" t="s">
        <v>75</v>
      </c>
      <c r="J128" t="s">
        <v>76</v>
      </c>
      <c r="K128" t="s">
        <v>31</v>
      </c>
      <c r="L128">
        <v>4</v>
      </c>
      <c r="M128">
        <v>24242</v>
      </c>
      <c r="N128">
        <v>0.1</v>
      </c>
      <c r="O128">
        <v>96968</v>
      </c>
      <c r="P128">
        <v>9696.7999999999993</v>
      </c>
      <c r="Q128">
        <v>87271.2</v>
      </c>
      <c r="R128">
        <f>YEAR(Sales_Data[[#This Row],[Order_Date]])</f>
        <v>2025</v>
      </c>
      <c r="S128" t="str">
        <f>TEXT(Sales_Data[[#This Row],[Order_Date]],"mmmm")</f>
        <v>January</v>
      </c>
      <c r="T128">
        <f t="shared" si="1"/>
        <v>1</v>
      </c>
      <c r="U128" t="str">
        <f>"Q"&amp;ROUNDUP(MONTH(Sales_Data[[#This Row],[Order_Date]])/3,0)</f>
        <v>Q1</v>
      </c>
      <c r="V128" t="s">
        <v>32</v>
      </c>
      <c r="W128" t="s">
        <v>65</v>
      </c>
      <c r="X128" t="s">
        <v>93</v>
      </c>
      <c r="Y128">
        <v>1</v>
      </c>
      <c r="Z128">
        <v>9</v>
      </c>
      <c r="AA128">
        <v>4</v>
      </c>
      <c r="AB128" t="s">
        <v>144</v>
      </c>
      <c r="AC128" t="s">
        <v>56</v>
      </c>
      <c r="AD128">
        <v>2025</v>
      </c>
    </row>
    <row r="129" spans="1:30" x14ac:dyDescent="0.45">
      <c r="A129" t="s">
        <v>344</v>
      </c>
      <c r="B129" t="s">
        <v>345</v>
      </c>
      <c r="C129" t="str">
        <f>_xlfn.XLOOKUP(Sales_Data[[#This Row],[Product_ID]],Product_Master[Product_ID],Product_Master[Product],"Not Found")</f>
        <v>uPVC Doors</v>
      </c>
      <c r="D129" s="3">
        <v>45685</v>
      </c>
      <c r="E129" t="s">
        <v>25</v>
      </c>
      <c r="F129" t="s">
        <v>60</v>
      </c>
      <c r="G129" t="s">
        <v>40</v>
      </c>
      <c r="H129" t="s">
        <v>83</v>
      </c>
      <c r="I129" t="s">
        <v>107</v>
      </c>
      <c r="J129" t="s">
        <v>108</v>
      </c>
      <c r="K129" t="s">
        <v>43</v>
      </c>
      <c r="L129">
        <v>1</v>
      </c>
      <c r="M129">
        <v>30569</v>
      </c>
      <c r="N129">
        <v>0</v>
      </c>
      <c r="O129">
        <v>30569</v>
      </c>
      <c r="P129">
        <v>0</v>
      </c>
      <c r="Q129">
        <v>30569</v>
      </c>
      <c r="R129">
        <f>YEAR(Sales_Data[[#This Row],[Order_Date]])</f>
        <v>2025</v>
      </c>
      <c r="S129" t="str">
        <f>TEXT(Sales_Data[[#This Row],[Order_Date]],"mmmm")</f>
        <v>January</v>
      </c>
      <c r="T129">
        <f t="shared" si="1"/>
        <v>1</v>
      </c>
      <c r="U129" t="str">
        <f>"Q"&amp;ROUNDUP(MONTH(Sales_Data[[#This Row],[Order_Date]])/3,0)</f>
        <v>Q1</v>
      </c>
      <c r="V129" t="s">
        <v>32</v>
      </c>
      <c r="W129" t="s">
        <v>54</v>
      </c>
      <c r="X129" t="s">
        <v>45</v>
      </c>
      <c r="Y129">
        <v>5</v>
      </c>
      <c r="Z129">
        <v>17</v>
      </c>
      <c r="AA129">
        <v>4</v>
      </c>
      <c r="AB129" t="s">
        <v>144</v>
      </c>
      <c r="AC129" t="s">
        <v>56</v>
      </c>
      <c r="AD129">
        <v>2025</v>
      </c>
    </row>
    <row r="130" spans="1:30" x14ac:dyDescent="0.45">
      <c r="A130" t="s">
        <v>346</v>
      </c>
      <c r="B130" t="s">
        <v>347</v>
      </c>
      <c r="C130" t="str">
        <f>_xlfn.XLOOKUP(Sales_Data[[#This Row],[Product_ID]],Product_Master[Product_ID],Product_Master[Product],"Not Found")</f>
        <v>Aluminium Windows</v>
      </c>
      <c r="D130" s="3">
        <v>45673</v>
      </c>
      <c r="E130" t="s">
        <v>25</v>
      </c>
      <c r="F130" t="s">
        <v>60</v>
      </c>
      <c r="G130" t="s">
        <v>116</v>
      </c>
      <c r="H130" t="s">
        <v>83</v>
      </c>
      <c r="I130" t="s">
        <v>52</v>
      </c>
      <c r="J130" t="s">
        <v>53</v>
      </c>
      <c r="K130" t="s">
        <v>31</v>
      </c>
      <c r="L130">
        <v>1</v>
      </c>
      <c r="M130">
        <v>23415</v>
      </c>
      <c r="N130">
        <v>0.1</v>
      </c>
      <c r="O130">
        <v>23415</v>
      </c>
      <c r="P130">
        <v>2341.5</v>
      </c>
      <c r="Q130">
        <v>21073.5</v>
      </c>
      <c r="R130">
        <f>YEAR(Sales_Data[[#This Row],[Order_Date]])</f>
        <v>2025</v>
      </c>
      <c r="S130" t="str">
        <f>TEXT(Sales_Data[[#This Row],[Order_Date]],"mmmm")</f>
        <v>January</v>
      </c>
      <c r="T130">
        <f t="shared" ref="T130:T193" si="2">MONTH($D130)</f>
        <v>1</v>
      </c>
      <c r="U130" t="str">
        <f>"Q"&amp;ROUNDUP(MONTH(Sales_Data[[#This Row],[Order_Date]])/3,0)</f>
        <v>Q1</v>
      </c>
      <c r="V130" t="s">
        <v>64</v>
      </c>
      <c r="W130" t="s">
        <v>33</v>
      </c>
      <c r="X130" t="s">
        <v>45</v>
      </c>
      <c r="Y130">
        <v>7</v>
      </c>
      <c r="Z130">
        <v>8</v>
      </c>
      <c r="AA130">
        <v>5</v>
      </c>
      <c r="AB130" t="s">
        <v>144</v>
      </c>
      <c r="AC130" t="s">
        <v>56</v>
      </c>
      <c r="AD130">
        <v>2025</v>
      </c>
    </row>
    <row r="131" spans="1:30" x14ac:dyDescent="0.45">
      <c r="A131" t="s">
        <v>348</v>
      </c>
      <c r="B131" t="s">
        <v>349</v>
      </c>
      <c r="C131" t="str">
        <f>_xlfn.XLOOKUP(Sales_Data[[#This Row],[Product_ID]],Product_Master[Product_ID],Product_Master[Product],"Not Found")</f>
        <v>French Doors</v>
      </c>
      <c r="D131" s="3">
        <v>45983</v>
      </c>
      <c r="E131" t="s">
        <v>25</v>
      </c>
      <c r="F131" t="s">
        <v>60</v>
      </c>
      <c r="G131" t="s">
        <v>116</v>
      </c>
      <c r="H131" t="s">
        <v>83</v>
      </c>
      <c r="I131" t="s">
        <v>84</v>
      </c>
      <c r="J131" t="s">
        <v>85</v>
      </c>
      <c r="K131" t="s">
        <v>43</v>
      </c>
      <c r="L131">
        <v>4</v>
      </c>
      <c r="M131">
        <v>38348</v>
      </c>
      <c r="N131">
        <v>0.1</v>
      </c>
      <c r="O131">
        <v>153392</v>
      </c>
      <c r="P131">
        <v>15339.2</v>
      </c>
      <c r="Q131">
        <v>138052.79999999999</v>
      </c>
      <c r="R131">
        <f>YEAR(Sales_Data[[#This Row],[Order_Date]])</f>
        <v>2025</v>
      </c>
      <c r="S131" t="str">
        <f>TEXT(Sales_Data[[#This Row],[Order_Date]],"mmmm")</f>
        <v>November</v>
      </c>
      <c r="T131">
        <f t="shared" si="2"/>
        <v>11</v>
      </c>
      <c r="U131" t="str">
        <f>"Q"&amp;ROUNDUP(MONTH(Sales_Data[[#This Row],[Order_Date]])/3,0)</f>
        <v>Q4</v>
      </c>
      <c r="V131" t="s">
        <v>32</v>
      </c>
      <c r="W131" t="s">
        <v>33</v>
      </c>
      <c r="X131" t="s">
        <v>34</v>
      </c>
      <c r="Y131">
        <v>1</v>
      </c>
      <c r="Z131">
        <v>26</v>
      </c>
      <c r="AA131">
        <v>5</v>
      </c>
      <c r="AB131" t="s">
        <v>67</v>
      </c>
      <c r="AC131" t="s">
        <v>36</v>
      </c>
      <c r="AD131">
        <v>2025</v>
      </c>
    </row>
    <row r="132" spans="1:30" x14ac:dyDescent="0.45">
      <c r="A132" t="s">
        <v>350</v>
      </c>
      <c r="B132" t="s">
        <v>351</v>
      </c>
      <c r="C132" t="str">
        <f>_xlfn.XLOOKUP(Sales_Data[[#This Row],[Product_ID]],Product_Master[Product_ID],Product_Master[Product],"Not Found")</f>
        <v>French Doors</v>
      </c>
      <c r="D132" s="3">
        <v>45839</v>
      </c>
      <c r="E132" t="s">
        <v>25</v>
      </c>
      <c r="F132" t="s">
        <v>26</v>
      </c>
      <c r="G132" t="s">
        <v>50</v>
      </c>
      <c r="H132" t="s">
        <v>51</v>
      </c>
      <c r="I132" t="s">
        <v>84</v>
      </c>
      <c r="J132" t="s">
        <v>85</v>
      </c>
      <c r="K132" t="s">
        <v>43</v>
      </c>
      <c r="L132">
        <v>4</v>
      </c>
      <c r="M132">
        <v>37904</v>
      </c>
      <c r="N132">
        <v>0.1</v>
      </c>
      <c r="O132">
        <v>151616</v>
      </c>
      <c r="P132">
        <v>15161.6</v>
      </c>
      <c r="Q132">
        <v>136454.39999999999</v>
      </c>
      <c r="R132">
        <f>YEAR(Sales_Data[[#This Row],[Order_Date]])</f>
        <v>2025</v>
      </c>
      <c r="S132" t="str">
        <f>TEXT(Sales_Data[[#This Row],[Order_Date]],"mmmm")</f>
        <v>July</v>
      </c>
      <c r="T132">
        <f t="shared" si="2"/>
        <v>7</v>
      </c>
      <c r="U132" t="str">
        <f>"Q"&amp;ROUNDUP(MONTH(Sales_Data[[#This Row],[Order_Date]])/3,0)</f>
        <v>Q3</v>
      </c>
      <c r="V132" t="s">
        <v>64</v>
      </c>
      <c r="W132" t="s">
        <v>33</v>
      </c>
      <c r="X132" t="s">
        <v>66</v>
      </c>
      <c r="Y132">
        <v>7</v>
      </c>
      <c r="Z132">
        <v>21</v>
      </c>
      <c r="AA132">
        <v>4</v>
      </c>
      <c r="AB132" t="s">
        <v>155</v>
      </c>
      <c r="AC132" t="s">
        <v>90</v>
      </c>
      <c r="AD132">
        <v>2025</v>
      </c>
    </row>
    <row r="133" spans="1:30" x14ac:dyDescent="0.45">
      <c r="A133" t="s">
        <v>352</v>
      </c>
      <c r="B133" t="s">
        <v>353</v>
      </c>
      <c r="C133" t="str">
        <f>_xlfn.XLOOKUP(Sales_Data[[#This Row],[Product_ID]],Product_Master[Product_ID],Product_Master[Product],"Not Found")</f>
        <v>Aluminium Windows</v>
      </c>
      <c r="D133" s="3">
        <v>45940</v>
      </c>
      <c r="E133" t="s">
        <v>25</v>
      </c>
      <c r="F133" t="s">
        <v>39</v>
      </c>
      <c r="G133" t="s">
        <v>111</v>
      </c>
      <c r="H133" t="s">
        <v>28</v>
      </c>
      <c r="I133" t="s">
        <v>52</v>
      </c>
      <c r="J133" t="s">
        <v>53</v>
      </c>
      <c r="K133" t="s">
        <v>31</v>
      </c>
      <c r="L133">
        <v>6</v>
      </c>
      <c r="M133">
        <v>19893</v>
      </c>
      <c r="N133">
        <v>0.15</v>
      </c>
      <c r="O133">
        <v>119358</v>
      </c>
      <c r="P133">
        <v>17903.7</v>
      </c>
      <c r="Q133">
        <v>101454.3</v>
      </c>
      <c r="R133">
        <f>YEAR(Sales_Data[[#This Row],[Order_Date]])</f>
        <v>2025</v>
      </c>
      <c r="S133" t="str">
        <f>TEXT(Sales_Data[[#This Row],[Order_Date]],"mmmm")</f>
        <v>October</v>
      </c>
      <c r="T133">
        <f t="shared" si="2"/>
        <v>10</v>
      </c>
      <c r="U133" t="str">
        <f>"Q"&amp;ROUNDUP(MONTH(Sales_Data[[#This Row],[Order_Date]])/3,0)</f>
        <v>Q4</v>
      </c>
      <c r="V133" t="s">
        <v>32</v>
      </c>
      <c r="W133" t="s">
        <v>33</v>
      </c>
      <c r="X133" t="s">
        <v>45</v>
      </c>
      <c r="Y133">
        <v>1</v>
      </c>
      <c r="Z133">
        <v>27</v>
      </c>
      <c r="AA133">
        <v>4</v>
      </c>
      <c r="AB133" t="s">
        <v>35</v>
      </c>
      <c r="AC133" t="s">
        <v>36</v>
      </c>
      <c r="AD133">
        <v>2025</v>
      </c>
    </row>
    <row r="134" spans="1:30" x14ac:dyDescent="0.45">
      <c r="A134" t="s">
        <v>354</v>
      </c>
      <c r="B134" t="s">
        <v>355</v>
      </c>
      <c r="C134" t="str">
        <f>_xlfn.XLOOKUP(Sales_Data[[#This Row],[Product_ID]],Product_Master[Product_ID],Product_Master[Product],"Not Found")</f>
        <v>Soundproof Windows</v>
      </c>
      <c r="D134" s="3">
        <v>45702</v>
      </c>
      <c r="E134" t="s">
        <v>59</v>
      </c>
      <c r="F134" t="s">
        <v>39</v>
      </c>
      <c r="G134" t="s">
        <v>82</v>
      </c>
      <c r="H134" t="s">
        <v>51</v>
      </c>
      <c r="I134" t="s">
        <v>29</v>
      </c>
      <c r="J134" t="s">
        <v>30</v>
      </c>
      <c r="K134" t="s">
        <v>31</v>
      </c>
      <c r="L134">
        <v>6</v>
      </c>
      <c r="M134">
        <v>45027</v>
      </c>
      <c r="N134">
        <v>0.15</v>
      </c>
      <c r="O134">
        <v>270162</v>
      </c>
      <c r="P134">
        <v>40524.300000000003</v>
      </c>
      <c r="Q134">
        <v>229637.7</v>
      </c>
      <c r="R134">
        <f>YEAR(Sales_Data[[#This Row],[Order_Date]])</f>
        <v>2025</v>
      </c>
      <c r="S134" t="str">
        <f>TEXT(Sales_Data[[#This Row],[Order_Date]],"mmmm")</f>
        <v>February</v>
      </c>
      <c r="T134">
        <f t="shared" si="2"/>
        <v>2</v>
      </c>
      <c r="U134" t="str">
        <f>"Q"&amp;ROUNDUP(MONTH(Sales_Data[[#This Row],[Order_Date]])/3,0)</f>
        <v>Q1</v>
      </c>
      <c r="V134" t="s">
        <v>44</v>
      </c>
      <c r="W134" t="s">
        <v>33</v>
      </c>
      <c r="X134" t="s">
        <v>45</v>
      </c>
      <c r="Y134">
        <v>4</v>
      </c>
      <c r="Z134">
        <v>30</v>
      </c>
      <c r="AA134">
        <v>4</v>
      </c>
      <c r="AB134" t="s">
        <v>55</v>
      </c>
      <c r="AC134" t="s">
        <v>56</v>
      </c>
      <c r="AD134">
        <v>2025</v>
      </c>
    </row>
    <row r="135" spans="1:30" x14ac:dyDescent="0.45">
      <c r="A135" t="s">
        <v>356</v>
      </c>
      <c r="B135" t="s">
        <v>357</v>
      </c>
      <c r="C135" t="str">
        <f>_xlfn.XLOOKUP(Sales_Data[[#This Row],[Product_ID]],Product_Master[Product_ID],Product_Master[Product],"Not Found")</f>
        <v>Soundproof Windows</v>
      </c>
      <c r="D135" s="3">
        <v>45776</v>
      </c>
      <c r="E135" t="s">
        <v>59</v>
      </c>
      <c r="F135" t="s">
        <v>70</v>
      </c>
      <c r="G135" t="s">
        <v>61</v>
      </c>
      <c r="H135" t="s">
        <v>83</v>
      </c>
      <c r="I135" t="s">
        <v>29</v>
      </c>
      <c r="J135" t="s">
        <v>30</v>
      </c>
      <c r="K135" t="s">
        <v>31</v>
      </c>
      <c r="L135">
        <v>5</v>
      </c>
      <c r="M135">
        <v>49568</v>
      </c>
      <c r="N135">
        <v>0.1</v>
      </c>
      <c r="O135">
        <v>247840</v>
      </c>
      <c r="P135">
        <v>24784</v>
      </c>
      <c r="Q135">
        <v>223056</v>
      </c>
      <c r="R135">
        <f>YEAR(Sales_Data[[#This Row],[Order_Date]])</f>
        <v>2025</v>
      </c>
      <c r="S135" t="str">
        <f>TEXT(Sales_Data[[#This Row],[Order_Date]],"mmmm")</f>
        <v>April</v>
      </c>
      <c r="T135">
        <f t="shared" si="2"/>
        <v>4</v>
      </c>
      <c r="U135" t="str">
        <f>"Q"&amp;ROUNDUP(MONTH(Sales_Data[[#This Row],[Order_Date]])/3,0)</f>
        <v>Q2</v>
      </c>
      <c r="V135" t="s">
        <v>64</v>
      </c>
      <c r="W135" t="s">
        <v>33</v>
      </c>
      <c r="X135" t="s">
        <v>34</v>
      </c>
      <c r="Y135">
        <v>7</v>
      </c>
      <c r="Z135">
        <v>14</v>
      </c>
      <c r="AA135">
        <v>5</v>
      </c>
      <c r="AB135" t="s">
        <v>77</v>
      </c>
      <c r="AC135" t="s">
        <v>47</v>
      </c>
      <c r="AD135">
        <v>2025</v>
      </c>
    </row>
    <row r="136" spans="1:30" x14ac:dyDescent="0.45">
      <c r="A136" t="s">
        <v>358</v>
      </c>
      <c r="B136" t="s">
        <v>359</v>
      </c>
      <c r="C136" t="str">
        <f>_xlfn.XLOOKUP(Sales_Data[[#This Row],[Product_ID]],Product_Master[Product_ID],Product_Master[Product],"Not Found")</f>
        <v>Casement Windows</v>
      </c>
      <c r="D136" s="3">
        <v>45779</v>
      </c>
      <c r="E136" t="s">
        <v>25</v>
      </c>
      <c r="F136" t="s">
        <v>60</v>
      </c>
      <c r="G136" t="s">
        <v>27</v>
      </c>
      <c r="H136" t="s">
        <v>51</v>
      </c>
      <c r="I136" t="s">
        <v>75</v>
      </c>
      <c r="J136" t="s">
        <v>76</v>
      </c>
      <c r="K136" t="s">
        <v>31</v>
      </c>
      <c r="L136">
        <v>5</v>
      </c>
      <c r="M136">
        <v>29655</v>
      </c>
      <c r="N136">
        <v>0.1</v>
      </c>
      <c r="O136">
        <v>148275</v>
      </c>
      <c r="P136">
        <v>14827.5</v>
      </c>
      <c r="Q136">
        <v>133447.5</v>
      </c>
      <c r="R136">
        <f>YEAR(Sales_Data[[#This Row],[Order_Date]])</f>
        <v>2025</v>
      </c>
      <c r="S136" t="str">
        <f>TEXT(Sales_Data[[#This Row],[Order_Date]],"mmmm")</f>
        <v>May</v>
      </c>
      <c r="T136">
        <f t="shared" si="2"/>
        <v>5</v>
      </c>
      <c r="U136" t="str">
        <f>"Q"&amp;ROUNDUP(MONTH(Sales_Data[[#This Row],[Order_Date]])/3,0)</f>
        <v>Q2</v>
      </c>
      <c r="V136" t="s">
        <v>44</v>
      </c>
      <c r="W136" t="s">
        <v>33</v>
      </c>
      <c r="X136" t="s">
        <v>45</v>
      </c>
      <c r="Y136">
        <v>3</v>
      </c>
      <c r="Z136">
        <v>10</v>
      </c>
      <c r="AA136">
        <v>4</v>
      </c>
      <c r="AB136" t="s">
        <v>72</v>
      </c>
      <c r="AC136" t="s">
        <v>47</v>
      </c>
      <c r="AD136">
        <v>2025</v>
      </c>
    </row>
    <row r="137" spans="1:30" x14ac:dyDescent="0.45">
      <c r="A137" t="s">
        <v>360</v>
      </c>
      <c r="B137" t="s">
        <v>361</v>
      </c>
      <c r="C137" t="str">
        <f>_xlfn.XLOOKUP(Sales_Data[[#This Row],[Product_ID]],Product_Master[Product_ID],Product_Master[Product],"Not Found")</f>
        <v>French Doors</v>
      </c>
      <c r="D137" s="3">
        <v>45892</v>
      </c>
      <c r="E137" t="s">
        <v>59</v>
      </c>
      <c r="F137" t="s">
        <v>26</v>
      </c>
      <c r="G137" t="s">
        <v>40</v>
      </c>
      <c r="H137" t="s">
        <v>88</v>
      </c>
      <c r="I137" t="s">
        <v>84</v>
      </c>
      <c r="J137" t="s">
        <v>85</v>
      </c>
      <c r="K137" t="s">
        <v>43</v>
      </c>
      <c r="L137">
        <v>4</v>
      </c>
      <c r="M137">
        <v>46658</v>
      </c>
      <c r="N137">
        <v>0.2</v>
      </c>
      <c r="O137">
        <v>186632</v>
      </c>
      <c r="P137">
        <v>37326.400000000001</v>
      </c>
      <c r="Q137">
        <v>149305.60000000001</v>
      </c>
      <c r="R137">
        <f>YEAR(Sales_Data[[#This Row],[Order_Date]])</f>
        <v>2025</v>
      </c>
      <c r="S137" t="str">
        <f>TEXT(Sales_Data[[#This Row],[Order_Date]],"mmmm")</f>
        <v>August</v>
      </c>
      <c r="T137">
        <f t="shared" si="2"/>
        <v>8</v>
      </c>
      <c r="U137" t="str">
        <f>"Q"&amp;ROUNDUP(MONTH(Sales_Data[[#This Row],[Order_Date]])/3,0)</f>
        <v>Q3</v>
      </c>
      <c r="V137" t="s">
        <v>32</v>
      </c>
      <c r="W137" t="s">
        <v>54</v>
      </c>
      <c r="X137" t="s">
        <v>45</v>
      </c>
      <c r="Y137">
        <v>3</v>
      </c>
      <c r="Z137">
        <v>20</v>
      </c>
      <c r="AA137">
        <v>4</v>
      </c>
      <c r="AB137" t="s">
        <v>123</v>
      </c>
      <c r="AC137" t="s">
        <v>90</v>
      </c>
      <c r="AD137">
        <v>2025</v>
      </c>
    </row>
    <row r="138" spans="1:30" x14ac:dyDescent="0.45">
      <c r="A138" t="s">
        <v>362</v>
      </c>
      <c r="B138" t="s">
        <v>363</v>
      </c>
      <c r="C138" t="str">
        <f>_xlfn.XLOOKUP(Sales_Data[[#This Row],[Product_ID]],Product_Master[Product_ID],Product_Master[Product],"Not Found")</f>
        <v>Sliding Doors</v>
      </c>
      <c r="D138" s="3">
        <v>45747</v>
      </c>
      <c r="E138" t="s">
        <v>59</v>
      </c>
      <c r="F138" t="s">
        <v>26</v>
      </c>
      <c r="G138" t="s">
        <v>40</v>
      </c>
      <c r="H138" t="s">
        <v>88</v>
      </c>
      <c r="I138" t="s">
        <v>101</v>
      </c>
      <c r="J138" t="s">
        <v>102</v>
      </c>
      <c r="K138" t="s">
        <v>43</v>
      </c>
      <c r="L138">
        <v>6</v>
      </c>
      <c r="M138">
        <v>36483</v>
      </c>
      <c r="N138">
        <v>0.05</v>
      </c>
      <c r="O138">
        <v>218898</v>
      </c>
      <c r="P138">
        <v>10944.9</v>
      </c>
      <c r="Q138">
        <v>207953.1</v>
      </c>
      <c r="R138">
        <f>YEAR(Sales_Data[[#This Row],[Order_Date]])</f>
        <v>2025</v>
      </c>
      <c r="S138" t="str">
        <f>TEXT(Sales_Data[[#This Row],[Order_Date]],"mmmm")</f>
        <v>March</v>
      </c>
      <c r="T138">
        <f t="shared" si="2"/>
        <v>3</v>
      </c>
      <c r="U138" t="str">
        <f>"Q"&amp;ROUNDUP(MONTH(Sales_Data[[#This Row],[Order_Date]])/3,0)</f>
        <v>Q1</v>
      </c>
      <c r="V138" t="s">
        <v>32</v>
      </c>
      <c r="W138" t="s">
        <v>65</v>
      </c>
      <c r="X138" t="s">
        <v>93</v>
      </c>
      <c r="Y138">
        <v>4</v>
      </c>
      <c r="Z138">
        <v>16</v>
      </c>
      <c r="AA138">
        <v>5</v>
      </c>
      <c r="AB138" t="s">
        <v>130</v>
      </c>
      <c r="AC138" t="s">
        <v>56</v>
      </c>
      <c r="AD138">
        <v>2025</v>
      </c>
    </row>
    <row r="139" spans="1:30" x14ac:dyDescent="0.45">
      <c r="A139" t="s">
        <v>364</v>
      </c>
      <c r="B139" t="s">
        <v>365</v>
      </c>
      <c r="C139" t="str">
        <f>_xlfn.XLOOKUP(Sales_Data[[#This Row],[Product_ID]],Product_Master[Product_ID],Product_Master[Product],"Not Found")</f>
        <v>Sliding Doors</v>
      </c>
      <c r="D139" s="3">
        <v>45782</v>
      </c>
      <c r="E139" t="s">
        <v>25</v>
      </c>
      <c r="F139" t="s">
        <v>26</v>
      </c>
      <c r="G139" t="s">
        <v>111</v>
      </c>
      <c r="H139" t="s">
        <v>88</v>
      </c>
      <c r="I139" t="s">
        <v>101</v>
      </c>
      <c r="J139" t="s">
        <v>102</v>
      </c>
      <c r="K139" t="s">
        <v>43</v>
      </c>
      <c r="L139">
        <v>2</v>
      </c>
      <c r="M139">
        <v>37610</v>
      </c>
      <c r="N139">
        <v>0.05</v>
      </c>
      <c r="O139">
        <v>75220</v>
      </c>
      <c r="P139">
        <v>3761</v>
      </c>
      <c r="Q139">
        <v>71459</v>
      </c>
      <c r="R139">
        <f>YEAR(Sales_Data[[#This Row],[Order_Date]])</f>
        <v>2025</v>
      </c>
      <c r="S139" t="str">
        <f>TEXT(Sales_Data[[#This Row],[Order_Date]],"mmmm")</f>
        <v>May</v>
      </c>
      <c r="T139">
        <f t="shared" si="2"/>
        <v>5</v>
      </c>
      <c r="U139" t="str">
        <f>"Q"&amp;ROUNDUP(MONTH(Sales_Data[[#This Row],[Order_Date]])/3,0)</f>
        <v>Q2</v>
      </c>
      <c r="V139" t="s">
        <v>32</v>
      </c>
      <c r="W139" t="s">
        <v>54</v>
      </c>
      <c r="X139" t="s">
        <v>66</v>
      </c>
      <c r="Y139">
        <v>4</v>
      </c>
      <c r="Z139">
        <v>19</v>
      </c>
      <c r="AA139">
        <v>3</v>
      </c>
      <c r="AB139" t="s">
        <v>72</v>
      </c>
      <c r="AC139" t="s">
        <v>47</v>
      </c>
      <c r="AD139">
        <v>2025</v>
      </c>
    </row>
    <row r="140" spans="1:30" x14ac:dyDescent="0.45">
      <c r="A140" t="s">
        <v>366</v>
      </c>
      <c r="B140" t="s">
        <v>367</v>
      </c>
      <c r="C140" t="str">
        <f>_xlfn.XLOOKUP(Sales_Data[[#This Row],[Product_ID]],Product_Master[Product_ID],Product_Master[Product],"Not Found")</f>
        <v>Aluminium Windows</v>
      </c>
      <c r="D140" s="3">
        <v>45972</v>
      </c>
      <c r="E140" t="s">
        <v>59</v>
      </c>
      <c r="F140" t="s">
        <v>39</v>
      </c>
      <c r="G140" t="s">
        <v>27</v>
      </c>
      <c r="H140" t="s">
        <v>51</v>
      </c>
      <c r="I140" t="s">
        <v>52</v>
      </c>
      <c r="J140" t="s">
        <v>53</v>
      </c>
      <c r="K140" t="s">
        <v>31</v>
      </c>
      <c r="L140">
        <v>3</v>
      </c>
      <c r="M140">
        <v>23934</v>
      </c>
      <c r="N140">
        <v>0.05</v>
      </c>
      <c r="O140">
        <v>71802</v>
      </c>
      <c r="P140">
        <v>3590.1</v>
      </c>
      <c r="Q140">
        <v>68211.899999999994</v>
      </c>
      <c r="R140">
        <f>YEAR(Sales_Data[[#This Row],[Order_Date]])</f>
        <v>2025</v>
      </c>
      <c r="S140" t="str">
        <f>TEXT(Sales_Data[[#This Row],[Order_Date]],"mmmm")</f>
        <v>November</v>
      </c>
      <c r="T140">
        <f t="shared" si="2"/>
        <v>11</v>
      </c>
      <c r="U140" t="str">
        <f>"Q"&amp;ROUNDUP(MONTH(Sales_Data[[#This Row],[Order_Date]])/3,0)</f>
        <v>Q4</v>
      </c>
      <c r="V140" t="s">
        <v>64</v>
      </c>
      <c r="W140" t="s">
        <v>33</v>
      </c>
      <c r="X140" t="s">
        <v>45</v>
      </c>
      <c r="Y140">
        <v>3</v>
      </c>
      <c r="Z140">
        <v>28</v>
      </c>
      <c r="AA140">
        <v>4</v>
      </c>
      <c r="AB140" t="s">
        <v>67</v>
      </c>
      <c r="AC140" t="s">
        <v>36</v>
      </c>
      <c r="AD140">
        <v>2025</v>
      </c>
    </row>
    <row r="141" spans="1:30" x14ac:dyDescent="0.45">
      <c r="A141" t="s">
        <v>368</v>
      </c>
      <c r="B141" t="s">
        <v>369</v>
      </c>
      <c r="C141" t="str">
        <f>_xlfn.XLOOKUP(Sales_Data[[#This Row],[Product_ID]],Product_Master[Product_ID],Product_Master[Product],"Not Found")</f>
        <v>Sliding Doors</v>
      </c>
      <c r="D141" s="3">
        <v>45733</v>
      </c>
      <c r="E141" t="s">
        <v>59</v>
      </c>
      <c r="F141" t="s">
        <v>70</v>
      </c>
      <c r="G141" t="s">
        <v>139</v>
      </c>
      <c r="H141" t="s">
        <v>88</v>
      </c>
      <c r="I141" t="s">
        <v>101</v>
      </c>
      <c r="J141" t="s">
        <v>102</v>
      </c>
      <c r="K141" t="s">
        <v>43</v>
      </c>
      <c r="L141">
        <v>2</v>
      </c>
      <c r="M141">
        <v>38847</v>
      </c>
      <c r="N141">
        <v>0</v>
      </c>
      <c r="O141">
        <v>77694</v>
      </c>
      <c r="P141">
        <v>0</v>
      </c>
      <c r="Q141">
        <v>77694</v>
      </c>
      <c r="R141">
        <f>YEAR(Sales_Data[[#This Row],[Order_Date]])</f>
        <v>2025</v>
      </c>
      <c r="S141" t="str">
        <f>TEXT(Sales_Data[[#This Row],[Order_Date]],"mmmm")</f>
        <v>March</v>
      </c>
      <c r="T141">
        <f t="shared" si="2"/>
        <v>3</v>
      </c>
      <c r="U141" t="str">
        <f>"Q"&amp;ROUNDUP(MONTH(Sales_Data[[#This Row],[Order_Date]])/3,0)</f>
        <v>Q1</v>
      </c>
      <c r="V141" t="s">
        <v>98</v>
      </c>
      <c r="W141" t="s">
        <v>33</v>
      </c>
      <c r="X141" t="s">
        <v>66</v>
      </c>
      <c r="Y141">
        <v>7</v>
      </c>
      <c r="Z141">
        <v>14</v>
      </c>
      <c r="AA141">
        <v>5</v>
      </c>
      <c r="AB141" t="s">
        <v>130</v>
      </c>
      <c r="AC141" t="s">
        <v>56</v>
      </c>
      <c r="AD141">
        <v>2025</v>
      </c>
    </row>
    <row r="142" spans="1:30" x14ac:dyDescent="0.45">
      <c r="A142" t="s">
        <v>370</v>
      </c>
      <c r="B142" t="s">
        <v>371</v>
      </c>
      <c r="C142" t="str">
        <f>_xlfn.XLOOKUP(Sales_Data[[#This Row],[Product_ID]],Product_Master[Product_ID],Product_Master[Product],"Not Found")</f>
        <v>Casement Windows</v>
      </c>
      <c r="D142" s="3">
        <v>45726</v>
      </c>
      <c r="E142" t="s">
        <v>59</v>
      </c>
      <c r="F142" t="s">
        <v>39</v>
      </c>
      <c r="G142" t="s">
        <v>50</v>
      </c>
      <c r="H142" t="s">
        <v>112</v>
      </c>
      <c r="I142" t="s">
        <v>75</v>
      </c>
      <c r="J142" t="s">
        <v>76</v>
      </c>
      <c r="K142" t="s">
        <v>31</v>
      </c>
      <c r="L142">
        <v>6</v>
      </c>
      <c r="M142">
        <v>26953</v>
      </c>
      <c r="N142">
        <v>0.1</v>
      </c>
      <c r="O142">
        <v>161718</v>
      </c>
      <c r="P142">
        <v>16171.8</v>
      </c>
      <c r="Q142">
        <v>145546.20000000001</v>
      </c>
      <c r="R142">
        <f>YEAR(Sales_Data[[#This Row],[Order_Date]])</f>
        <v>2025</v>
      </c>
      <c r="S142" t="str">
        <f>TEXT(Sales_Data[[#This Row],[Order_Date]],"mmmm")</f>
        <v>March</v>
      </c>
      <c r="T142">
        <f t="shared" si="2"/>
        <v>3</v>
      </c>
      <c r="U142" t="str">
        <f>"Q"&amp;ROUNDUP(MONTH(Sales_Data[[#This Row],[Order_Date]])/3,0)</f>
        <v>Q1</v>
      </c>
      <c r="V142" t="s">
        <v>32</v>
      </c>
      <c r="W142" t="s">
        <v>65</v>
      </c>
      <c r="X142" t="s">
        <v>45</v>
      </c>
      <c r="Y142">
        <v>7</v>
      </c>
      <c r="Z142">
        <v>10</v>
      </c>
      <c r="AA142">
        <v>1</v>
      </c>
      <c r="AB142" t="s">
        <v>130</v>
      </c>
      <c r="AC142" t="s">
        <v>56</v>
      </c>
      <c r="AD142">
        <v>2025</v>
      </c>
    </row>
    <row r="143" spans="1:30" x14ac:dyDescent="0.45">
      <c r="A143" t="s">
        <v>372</v>
      </c>
      <c r="B143" t="s">
        <v>373</v>
      </c>
      <c r="C143" t="str">
        <f>_xlfn.XLOOKUP(Sales_Data[[#This Row],[Product_ID]],Product_Master[Product_ID],Product_Master[Product],"Not Found")</f>
        <v>French Doors</v>
      </c>
      <c r="D143" s="3">
        <v>45660</v>
      </c>
      <c r="E143" t="s">
        <v>25</v>
      </c>
      <c r="F143" t="s">
        <v>60</v>
      </c>
      <c r="G143" t="s">
        <v>40</v>
      </c>
      <c r="H143" t="s">
        <v>88</v>
      </c>
      <c r="I143" t="s">
        <v>84</v>
      </c>
      <c r="J143" t="s">
        <v>85</v>
      </c>
      <c r="K143" t="s">
        <v>43</v>
      </c>
      <c r="L143">
        <v>3</v>
      </c>
      <c r="M143">
        <v>38344</v>
      </c>
      <c r="N143">
        <v>0.05</v>
      </c>
      <c r="O143">
        <v>115032</v>
      </c>
      <c r="P143">
        <v>5751.6</v>
      </c>
      <c r="Q143">
        <v>109280.4</v>
      </c>
      <c r="R143">
        <f>YEAR(Sales_Data[[#This Row],[Order_Date]])</f>
        <v>2025</v>
      </c>
      <c r="S143" t="str">
        <f>TEXT(Sales_Data[[#This Row],[Order_Date]],"mmmm")</f>
        <v>January</v>
      </c>
      <c r="T143">
        <f t="shared" si="2"/>
        <v>1</v>
      </c>
      <c r="U143" t="str">
        <f>"Q"&amp;ROUNDUP(MONTH(Sales_Data[[#This Row],[Order_Date]])/3,0)</f>
        <v>Q1</v>
      </c>
      <c r="V143" t="s">
        <v>44</v>
      </c>
      <c r="W143" t="s">
        <v>33</v>
      </c>
      <c r="X143" t="s">
        <v>66</v>
      </c>
      <c r="Y143">
        <v>2</v>
      </c>
      <c r="Z143">
        <v>22</v>
      </c>
      <c r="AA143">
        <v>5</v>
      </c>
      <c r="AB143" t="s">
        <v>144</v>
      </c>
      <c r="AC143" t="s">
        <v>56</v>
      </c>
      <c r="AD143">
        <v>2025</v>
      </c>
    </row>
    <row r="144" spans="1:30" x14ac:dyDescent="0.45">
      <c r="A144" t="s">
        <v>374</v>
      </c>
      <c r="B144" t="s">
        <v>375</v>
      </c>
      <c r="C144" t="str">
        <f>_xlfn.XLOOKUP(Sales_Data[[#This Row],[Product_ID]],Product_Master[Product_ID],Product_Master[Product],"Not Found")</f>
        <v>Soundproof Windows</v>
      </c>
      <c r="D144" s="3">
        <v>45716</v>
      </c>
      <c r="E144" t="s">
        <v>59</v>
      </c>
      <c r="F144" t="s">
        <v>60</v>
      </c>
      <c r="G144" t="s">
        <v>116</v>
      </c>
      <c r="H144" t="s">
        <v>71</v>
      </c>
      <c r="I144" t="s">
        <v>29</v>
      </c>
      <c r="J144" t="s">
        <v>30</v>
      </c>
      <c r="K144" t="s">
        <v>31</v>
      </c>
      <c r="L144">
        <v>2</v>
      </c>
      <c r="M144">
        <v>51711</v>
      </c>
      <c r="N144">
        <v>0</v>
      </c>
      <c r="O144">
        <v>103422</v>
      </c>
      <c r="P144">
        <v>0</v>
      </c>
      <c r="Q144">
        <v>103422</v>
      </c>
      <c r="R144">
        <f>YEAR(Sales_Data[[#This Row],[Order_Date]])</f>
        <v>2025</v>
      </c>
      <c r="S144" t="str">
        <f>TEXT(Sales_Data[[#This Row],[Order_Date]],"mmmm")</f>
        <v>February</v>
      </c>
      <c r="T144">
        <f t="shared" si="2"/>
        <v>2</v>
      </c>
      <c r="U144" t="str">
        <f>"Q"&amp;ROUNDUP(MONTH(Sales_Data[[#This Row],[Order_Date]])/3,0)</f>
        <v>Q1</v>
      </c>
      <c r="V144" t="s">
        <v>122</v>
      </c>
      <c r="W144" t="s">
        <v>33</v>
      </c>
      <c r="X144" t="s">
        <v>45</v>
      </c>
      <c r="Y144">
        <v>4</v>
      </c>
      <c r="Z144">
        <v>20</v>
      </c>
      <c r="AA144">
        <v>4</v>
      </c>
      <c r="AB144" t="s">
        <v>55</v>
      </c>
      <c r="AC144" t="s">
        <v>56</v>
      </c>
      <c r="AD144">
        <v>2025</v>
      </c>
    </row>
    <row r="145" spans="1:30" x14ac:dyDescent="0.45">
      <c r="A145" t="s">
        <v>376</v>
      </c>
      <c r="B145" t="s">
        <v>377</v>
      </c>
      <c r="C145" t="str">
        <f>_xlfn.XLOOKUP(Sales_Data[[#This Row],[Product_ID]],Product_Master[Product_ID],Product_Master[Product],"Not Found")</f>
        <v>uPVC Windows</v>
      </c>
      <c r="D145" s="3">
        <v>45780</v>
      </c>
      <c r="E145" t="s">
        <v>59</v>
      </c>
      <c r="F145" t="s">
        <v>39</v>
      </c>
      <c r="G145" t="s">
        <v>40</v>
      </c>
      <c r="H145" t="s">
        <v>83</v>
      </c>
      <c r="I145" t="s">
        <v>62</v>
      </c>
      <c r="J145" t="s">
        <v>63</v>
      </c>
      <c r="K145" t="s">
        <v>31</v>
      </c>
      <c r="L145">
        <v>5</v>
      </c>
      <c r="M145">
        <v>18720</v>
      </c>
      <c r="N145">
        <v>0.15</v>
      </c>
      <c r="O145">
        <v>93600</v>
      </c>
      <c r="P145">
        <v>14040</v>
      </c>
      <c r="Q145">
        <v>79560</v>
      </c>
      <c r="R145">
        <f>YEAR(Sales_Data[[#This Row],[Order_Date]])</f>
        <v>2025</v>
      </c>
      <c r="S145" t="str">
        <f>TEXT(Sales_Data[[#This Row],[Order_Date]],"mmmm")</f>
        <v>May</v>
      </c>
      <c r="T145">
        <f t="shared" si="2"/>
        <v>5</v>
      </c>
      <c r="U145" t="str">
        <f>"Q"&amp;ROUNDUP(MONTH(Sales_Data[[#This Row],[Order_Date]])/3,0)</f>
        <v>Q2</v>
      </c>
      <c r="V145" t="s">
        <v>122</v>
      </c>
      <c r="W145" t="s">
        <v>33</v>
      </c>
      <c r="X145" t="s">
        <v>45</v>
      </c>
      <c r="Y145">
        <v>7</v>
      </c>
      <c r="Z145">
        <v>11</v>
      </c>
      <c r="AA145">
        <v>4</v>
      </c>
      <c r="AB145" t="s">
        <v>72</v>
      </c>
      <c r="AC145" t="s">
        <v>47</v>
      </c>
      <c r="AD145">
        <v>2025</v>
      </c>
    </row>
    <row r="146" spans="1:30" x14ac:dyDescent="0.45">
      <c r="A146" t="s">
        <v>378</v>
      </c>
      <c r="B146" t="s">
        <v>379</v>
      </c>
      <c r="C146" t="str">
        <f>_xlfn.XLOOKUP(Sales_Data[[#This Row],[Product_ID]],Product_Master[Product_ID],Product_Master[Product],"Not Found")</f>
        <v>uPVC Windows</v>
      </c>
      <c r="D146" s="3">
        <v>45824</v>
      </c>
      <c r="E146" t="s">
        <v>59</v>
      </c>
      <c r="F146" t="s">
        <v>39</v>
      </c>
      <c r="G146" t="s">
        <v>82</v>
      </c>
      <c r="H146" t="s">
        <v>71</v>
      </c>
      <c r="I146" t="s">
        <v>62</v>
      </c>
      <c r="J146" t="s">
        <v>63</v>
      </c>
      <c r="K146" t="s">
        <v>31</v>
      </c>
      <c r="L146">
        <v>5</v>
      </c>
      <c r="M146">
        <v>20077</v>
      </c>
      <c r="N146">
        <v>0.05</v>
      </c>
      <c r="O146">
        <v>100385</v>
      </c>
      <c r="P146">
        <v>5019.25</v>
      </c>
      <c r="Q146">
        <v>95365.75</v>
      </c>
      <c r="R146">
        <f>YEAR(Sales_Data[[#This Row],[Order_Date]])</f>
        <v>2025</v>
      </c>
      <c r="S146" t="str">
        <f>TEXT(Sales_Data[[#This Row],[Order_Date]],"mmmm")</f>
        <v>June</v>
      </c>
      <c r="T146">
        <f t="shared" si="2"/>
        <v>6</v>
      </c>
      <c r="U146" t="str">
        <f>"Q"&amp;ROUNDUP(MONTH(Sales_Data[[#This Row],[Order_Date]])/3,0)</f>
        <v>Q2</v>
      </c>
      <c r="V146" t="s">
        <v>32</v>
      </c>
      <c r="W146" t="s">
        <v>33</v>
      </c>
      <c r="X146" t="s">
        <v>93</v>
      </c>
      <c r="Y146">
        <v>3</v>
      </c>
      <c r="Z146">
        <v>21</v>
      </c>
      <c r="AA146">
        <v>5</v>
      </c>
      <c r="AB146" t="s">
        <v>46</v>
      </c>
      <c r="AC146" t="s">
        <v>47</v>
      </c>
      <c r="AD146">
        <v>2025</v>
      </c>
    </row>
    <row r="147" spans="1:30" x14ac:dyDescent="0.45">
      <c r="A147" t="s">
        <v>380</v>
      </c>
      <c r="B147" t="s">
        <v>381</v>
      </c>
      <c r="C147" t="str">
        <f>_xlfn.XLOOKUP(Sales_Data[[#This Row],[Product_ID]],Product_Master[Product_ID],Product_Master[Product],"Not Found")</f>
        <v>French Doors</v>
      </c>
      <c r="D147" s="3">
        <v>45832</v>
      </c>
      <c r="E147" t="s">
        <v>59</v>
      </c>
      <c r="F147" t="s">
        <v>26</v>
      </c>
      <c r="G147" t="s">
        <v>139</v>
      </c>
      <c r="H147" t="s">
        <v>83</v>
      </c>
      <c r="I147" t="s">
        <v>84</v>
      </c>
      <c r="J147" t="s">
        <v>85</v>
      </c>
      <c r="K147" t="s">
        <v>43</v>
      </c>
      <c r="L147">
        <v>5</v>
      </c>
      <c r="M147">
        <v>47744</v>
      </c>
      <c r="N147">
        <v>0.1</v>
      </c>
      <c r="O147">
        <v>238720</v>
      </c>
      <c r="P147">
        <v>23872</v>
      </c>
      <c r="Q147">
        <v>214848</v>
      </c>
      <c r="R147">
        <f>YEAR(Sales_Data[[#This Row],[Order_Date]])</f>
        <v>2025</v>
      </c>
      <c r="S147" t="str">
        <f>TEXT(Sales_Data[[#This Row],[Order_Date]],"mmmm")</f>
        <v>June</v>
      </c>
      <c r="T147">
        <f t="shared" si="2"/>
        <v>6</v>
      </c>
      <c r="U147" t="str">
        <f>"Q"&amp;ROUNDUP(MONTH(Sales_Data[[#This Row],[Order_Date]])/3,0)</f>
        <v>Q2</v>
      </c>
      <c r="V147" t="s">
        <v>64</v>
      </c>
      <c r="W147" t="s">
        <v>65</v>
      </c>
      <c r="X147" t="s">
        <v>45</v>
      </c>
      <c r="Y147">
        <v>3</v>
      </c>
      <c r="Z147">
        <v>15</v>
      </c>
      <c r="AA147">
        <v>5</v>
      </c>
      <c r="AB147" t="s">
        <v>46</v>
      </c>
      <c r="AC147" t="s">
        <v>47</v>
      </c>
      <c r="AD147">
        <v>2025</v>
      </c>
    </row>
    <row r="148" spans="1:30" x14ac:dyDescent="0.45">
      <c r="A148" t="s">
        <v>382</v>
      </c>
      <c r="B148" t="s">
        <v>383</v>
      </c>
      <c r="C148" t="str">
        <f>_xlfn.XLOOKUP(Sales_Data[[#This Row],[Product_ID]],Product_Master[Product_ID],Product_Master[Product],"Not Found")</f>
        <v>Bi-Fold Doors</v>
      </c>
      <c r="D148" s="3">
        <v>45707</v>
      </c>
      <c r="E148" t="s">
        <v>25</v>
      </c>
      <c r="F148" t="s">
        <v>60</v>
      </c>
      <c r="G148" t="s">
        <v>139</v>
      </c>
      <c r="H148" t="s">
        <v>88</v>
      </c>
      <c r="I148" t="s">
        <v>41</v>
      </c>
      <c r="J148" t="s">
        <v>42</v>
      </c>
      <c r="K148" t="s">
        <v>43</v>
      </c>
      <c r="L148">
        <v>1</v>
      </c>
      <c r="M148">
        <v>58924</v>
      </c>
      <c r="N148">
        <v>0.05</v>
      </c>
      <c r="O148">
        <v>58924</v>
      </c>
      <c r="P148">
        <v>2946.2</v>
      </c>
      <c r="Q148">
        <v>55977.8</v>
      </c>
      <c r="R148">
        <f>YEAR(Sales_Data[[#This Row],[Order_Date]])</f>
        <v>2025</v>
      </c>
      <c r="S148" t="str">
        <f>TEXT(Sales_Data[[#This Row],[Order_Date]],"mmmm")</f>
        <v>February</v>
      </c>
      <c r="T148">
        <f t="shared" si="2"/>
        <v>2</v>
      </c>
      <c r="U148" t="str">
        <f>"Q"&amp;ROUNDUP(MONTH(Sales_Data[[#This Row],[Order_Date]])/3,0)</f>
        <v>Q1</v>
      </c>
      <c r="V148" t="s">
        <v>122</v>
      </c>
      <c r="W148" t="s">
        <v>65</v>
      </c>
      <c r="X148" t="s">
        <v>34</v>
      </c>
      <c r="Y148">
        <v>7</v>
      </c>
      <c r="Z148">
        <v>27</v>
      </c>
      <c r="AA148">
        <v>3</v>
      </c>
      <c r="AB148" t="s">
        <v>55</v>
      </c>
      <c r="AC148" t="s">
        <v>56</v>
      </c>
      <c r="AD148">
        <v>2025</v>
      </c>
    </row>
    <row r="149" spans="1:30" x14ac:dyDescent="0.45">
      <c r="A149" t="s">
        <v>384</v>
      </c>
      <c r="B149" t="s">
        <v>385</v>
      </c>
      <c r="C149" t="str">
        <f>_xlfn.XLOOKUP(Sales_Data[[#This Row],[Product_ID]],Product_Master[Product_ID],Product_Master[Product],"Not Found")</f>
        <v>Sliding Doors</v>
      </c>
      <c r="D149" s="3">
        <v>45785</v>
      </c>
      <c r="E149" t="s">
        <v>25</v>
      </c>
      <c r="F149" t="s">
        <v>26</v>
      </c>
      <c r="G149" t="s">
        <v>139</v>
      </c>
      <c r="H149" t="s">
        <v>51</v>
      </c>
      <c r="I149" t="s">
        <v>101</v>
      </c>
      <c r="J149" t="s">
        <v>102</v>
      </c>
      <c r="K149" t="s">
        <v>43</v>
      </c>
      <c r="L149">
        <v>6</v>
      </c>
      <c r="M149">
        <v>36759</v>
      </c>
      <c r="N149">
        <v>0.2</v>
      </c>
      <c r="O149">
        <v>220554</v>
      </c>
      <c r="P149">
        <v>44110.8</v>
      </c>
      <c r="Q149">
        <v>176443.2</v>
      </c>
      <c r="R149">
        <f>YEAR(Sales_Data[[#This Row],[Order_Date]])</f>
        <v>2025</v>
      </c>
      <c r="S149" t="str">
        <f>TEXT(Sales_Data[[#This Row],[Order_Date]],"mmmm")</f>
        <v>May</v>
      </c>
      <c r="T149">
        <f t="shared" si="2"/>
        <v>5</v>
      </c>
      <c r="U149" t="str">
        <f>"Q"&amp;ROUNDUP(MONTH(Sales_Data[[#This Row],[Order_Date]])/3,0)</f>
        <v>Q2</v>
      </c>
      <c r="V149" t="s">
        <v>98</v>
      </c>
      <c r="W149" t="s">
        <v>33</v>
      </c>
      <c r="X149" t="s">
        <v>45</v>
      </c>
      <c r="Y149">
        <v>2</v>
      </c>
      <c r="Z149">
        <v>21</v>
      </c>
      <c r="AA149">
        <v>2</v>
      </c>
      <c r="AB149" t="s">
        <v>72</v>
      </c>
      <c r="AC149" t="s">
        <v>47</v>
      </c>
      <c r="AD149">
        <v>2025</v>
      </c>
    </row>
    <row r="150" spans="1:30" x14ac:dyDescent="0.45">
      <c r="A150" t="s">
        <v>386</v>
      </c>
      <c r="B150" t="s">
        <v>387</v>
      </c>
      <c r="C150" t="str">
        <f>_xlfn.XLOOKUP(Sales_Data[[#This Row],[Product_ID]],Product_Master[Product_ID],Product_Master[Product],"Not Found")</f>
        <v>Sliding Doors</v>
      </c>
      <c r="D150" s="3">
        <v>45741</v>
      </c>
      <c r="E150" t="s">
        <v>25</v>
      </c>
      <c r="F150" t="s">
        <v>60</v>
      </c>
      <c r="G150" t="s">
        <v>40</v>
      </c>
      <c r="H150" t="s">
        <v>112</v>
      </c>
      <c r="I150" t="s">
        <v>101</v>
      </c>
      <c r="J150" t="s">
        <v>102</v>
      </c>
      <c r="K150" t="s">
        <v>43</v>
      </c>
      <c r="L150">
        <v>3</v>
      </c>
      <c r="M150">
        <v>37174</v>
      </c>
      <c r="N150">
        <v>0.05</v>
      </c>
      <c r="O150">
        <v>111522</v>
      </c>
      <c r="P150">
        <v>5576.1</v>
      </c>
      <c r="Q150">
        <v>105945.9</v>
      </c>
      <c r="R150">
        <f>YEAR(Sales_Data[[#This Row],[Order_Date]])</f>
        <v>2025</v>
      </c>
      <c r="S150" t="str">
        <f>TEXT(Sales_Data[[#This Row],[Order_Date]],"mmmm")</f>
        <v>March</v>
      </c>
      <c r="T150">
        <f t="shared" si="2"/>
        <v>3</v>
      </c>
      <c r="U150" t="str">
        <f>"Q"&amp;ROUNDUP(MONTH(Sales_Data[[#This Row],[Order_Date]])/3,0)</f>
        <v>Q1</v>
      </c>
      <c r="V150" t="s">
        <v>32</v>
      </c>
      <c r="W150" t="s">
        <v>65</v>
      </c>
      <c r="X150" t="s">
        <v>34</v>
      </c>
      <c r="Y150">
        <v>6</v>
      </c>
      <c r="Z150">
        <v>13</v>
      </c>
      <c r="AA150">
        <v>4</v>
      </c>
      <c r="AB150" t="s">
        <v>130</v>
      </c>
      <c r="AC150" t="s">
        <v>56</v>
      </c>
      <c r="AD150">
        <v>2025</v>
      </c>
    </row>
    <row r="151" spans="1:30" x14ac:dyDescent="0.45">
      <c r="A151" t="s">
        <v>388</v>
      </c>
      <c r="B151" t="s">
        <v>389</v>
      </c>
      <c r="C151" t="str">
        <f>_xlfn.XLOOKUP(Sales_Data[[#This Row],[Product_ID]],Product_Master[Product_ID],Product_Master[Product],"Not Found")</f>
        <v>Sliding Doors</v>
      </c>
      <c r="D151" s="3">
        <v>45915</v>
      </c>
      <c r="E151" t="s">
        <v>59</v>
      </c>
      <c r="F151" t="s">
        <v>26</v>
      </c>
      <c r="G151" t="s">
        <v>82</v>
      </c>
      <c r="H151" t="s">
        <v>88</v>
      </c>
      <c r="I151" t="s">
        <v>101</v>
      </c>
      <c r="J151" t="s">
        <v>102</v>
      </c>
      <c r="K151" t="s">
        <v>43</v>
      </c>
      <c r="L151">
        <v>5</v>
      </c>
      <c r="M151">
        <v>33023</v>
      </c>
      <c r="N151">
        <v>0</v>
      </c>
      <c r="O151">
        <v>165115</v>
      </c>
      <c r="P151">
        <v>0</v>
      </c>
      <c r="Q151">
        <v>165115</v>
      </c>
      <c r="R151">
        <f>YEAR(Sales_Data[[#This Row],[Order_Date]])</f>
        <v>2025</v>
      </c>
      <c r="S151" t="str">
        <f>TEXT(Sales_Data[[#This Row],[Order_Date]],"mmmm")</f>
        <v>September</v>
      </c>
      <c r="T151">
        <f t="shared" si="2"/>
        <v>9</v>
      </c>
      <c r="U151" t="str">
        <f>"Q"&amp;ROUNDUP(MONTH(Sales_Data[[#This Row],[Order_Date]])/3,0)</f>
        <v>Q3</v>
      </c>
      <c r="V151" t="s">
        <v>32</v>
      </c>
      <c r="W151" t="s">
        <v>54</v>
      </c>
      <c r="X151" t="s">
        <v>45</v>
      </c>
      <c r="Y151">
        <v>6</v>
      </c>
      <c r="Z151">
        <v>8</v>
      </c>
      <c r="AA151">
        <v>5</v>
      </c>
      <c r="AB151" t="s">
        <v>89</v>
      </c>
      <c r="AC151" t="s">
        <v>90</v>
      </c>
      <c r="AD151">
        <v>2025</v>
      </c>
    </row>
    <row r="152" spans="1:30" x14ac:dyDescent="0.45">
      <c r="A152" t="s">
        <v>390</v>
      </c>
      <c r="B152" t="s">
        <v>391</v>
      </c>
      <c r="C152" t="str">
        <f>_xlfn.XLOOKUP(Sales_Data[[#This Row],[Product_ID]],Product_Master[Product_ID],Product_Master[Product],"Not Found")</f>
        <v>uPVC Windows</v>
      </c>
      <c r="D152" s="3">
        <v>45941</v>
      </c>
      <c r="E152" t="s">
        <v>59</v>
      </c>
      <c r="F152" t="s">
        <v>39</v>
      </c>
      <c r="G152" t="s">
        <v>50</v>
      </c>
      <c r="H152" t="s">
        <v>119</v>
      </c>
      <c r="I152" t="s">
        <v>62</v>
      </c>
      <c r="J152" t="s">
        <v>63</v>
      </c>
      <c r="K152" t="s">
        <v>31</v>
      </c>
      <c r="L152">
        <v>1</v>
      </c>
      <c r="M152">
        <v>16269</v>
      </c>
      <c r="N152">
        <v>0.1</v>
      </c>
      <c r="O152">
        <v>16269</v>
      </c>
      <c r="P152">
        <v>1626.9</v>
      </c>
      <c r="Q152">
        <v>14642.1</v>
      </c>
      <c r="R152">
        <f>YEAR(Sales_Data[[#This Row],[Order_Date]])</f>
        <v>2025</v>
      </c>
      <c r="S152" t="str">
        <f>TEXT(Sales_Data[[#This Row],[Order_Date]],"mmmm")</f>
        <v>October</v>
      </c>
      <c r="T152">
        <f t="shared" si="2"/>
        <v>10</v>
      </c>
      <c r="U152" t="str">
        <f>"Q"&amp;ROUNDUP(MONTH(Sales_Data[[#This Row],[Order_Date]])/3,0)</f>
        <v>Q4</v>
      </c>
      <c r="V152" t="s">
        <v>122</v>
      </c>
      <c r="W152" t="s">
        <v>33</v>
      </c>
      <c r="X152" t="s">
        <v>66</v>
      </c>
      <c r="Y152">
        <v>2</v>
      </c>
      <c r="Z152">
        <v>10</v>
      </c>
      <c r="AA152">
        <v>5</v>
      </c>
      <c r="AB152" t="s">
        <v>35</v>
      </c>
      <c r="AC152" t="s">
        <v>36</v>
      </c>
      <c r="AD152">
        <v>2025</v>
      </c>
    </row>
    <row r="153" spans="1:30" x14ac:dyDescent="0.45">
      <c r="A153" t="s">
        <v>392</v>
      </c>
      <c r="B153" t="s">
        <v>393</v>
      </c>
      <c r="C153" t="str">
        <f>_xlfn.XLOOKUP(Sales_Data[[#This Row],[Product_ID]],Product_Master[Product_ID],Product_Master[Product],"Not Found")</f>
        <v>Sliding Doors</v>
      </c>
      <c r="D153" s="3">
        <v>45905</v>
      </c>
      <c r="E153" t="s">
        <v>25</v>
      </c>
      <c r="F153" t="s">
        <v>26</v>
      </c>
      <c r="G153" t="s">
        <v>50</v>
      </c>
      <c r="H153" t="s">
        <v>28</v>
      </c>
      <c r="I153" t="s">
        <v>101</v>
      </c>
      <c r="J153" t="s">
        <v>102</v>
      </c>
      <c r="K153" t="s">
        <v>43</v>
      </c>
      <c r="L153">
        <v>4</v>
      </c>
      <c r="M153">
        <v>36866</v>
      </c>
      <c r="N153">
        <v>0.1</v>
      </c>
      <c r="O153">
        <v>147464</v>
      </c>
      <c r="P153">
        <v>14746.4</v>
      </c>
      <c r="Q153">
        <v>132717.6</v>
      </c>
      <c r="R153">
        <f>YEAR(Sales_Data[[#This Row],[Order_Date]])</f>
        <v>2025</v>
      </c>
      <c r="S153" t="str">
        <f>TEXT(Sales_Data[[#This Row],[Order_Date]],"mmmm")</f>
        <v>September</v>
      </c>
      <c r="T153">
        <f t="shared" si="2"/>
        <v>9</v>
      </c>
      <c r="U153" t="str">
        <f>"Q"&amp;ROUNDUP(MONTH(Sales_Data[[#This Row],[Order_Date]])/3,0)</f>
        <v>Q3</v>
      </c>
      <c r="V153" t="s">
        <v>32</v>
      </c>
      <c r="W153" t="s">
        <v>33</v>
      </c>
      <c r="X153" t="s">
        <v>66</v>
      </c>
      <c r="Y153">
        <v>4</v>
      </c>
      <c r="Z153">
        <v>19</v>
      </c>
      <c r="AA153">
        <v>1</v>
      </c>
      <c r="AB153" t="s">
        <v>89</v>
      </c>
      <c r="AC153" t="s">
        <v>90</v>
      </c>
      <c r="AD153">
        <v>2025</v>
      </c>
    </row>
    <row r="154" spans="1:30" x14ac:dyDescent="0.45">
      <c r="A154" t="s">
        <v>394</v>
      </c>
      <c r="B154" t="s">
        <v>395</v>
      </c>
      <c r="C154" t="str">
        <f>_xlfn.XLOOKUP(Sales_Data[[#This Row],[Product_ID]],Product_Master[Product_ID],Product_Master[Product],"Not Found")</f>
        <v>uPVC Windows</v>
      </c>
      <c r="D154" s="3">
        <v>45726</v>
      </c>
      <c r="E154" t="s">
        <v>59</v>
      </c>
      <c r="F154" t="s">
        <v>26</v>
      </c>
      <c r="G154" t="s">
        <v>40</v>
      </c>
      <c r="H154" t="s">
        <v>112</v>
      </c>
      <c r="I154" t="s">
        <v>62</v>
      </c>
      <c r="J154" t="s">
        <v>63</v>
      </c>
      <c r="K154" t="s">
        <v>31</v>
      </c>
      <c r="L154">
        <v>3</v>
      </c>
      <c r="M154">
        <v>17314</v>
      </c>
      <c r="N154">
        <v>0</v>
      </c>
      <c r="O154">
        <v>51942</v>
      </c>
      <c r="P154">
        <v>0</v>
      </c>
      <c r="Q154">
        <v>51942</v>
      </c>
      <c r="R154">
        <f>YEAR(Sales_Data[[#This Row],[Order_Date]])</f>
        <v>2025</v>
      </c>
      <c r="S154" t="str">
        <f>TEXT(Sales_Data[[#This Row],[Order_Date]],"mmmm")</f>
        <v>March</v>
      </c>
      <c r="T154">
        <f t="shared" si="2"/>
        <v>3</v>
      </c>
      <c r="U154" t="str">
        <f>"Q"&amp;ROUNDUP(MONTH(Sales_Data[[#This Row],[Order_Date]])/3,0)</f>
        <v>Q1</v>
      </c>
      <c r="V154" t="s">
        <v>44</v>
      </c>
      <c r="W154" t="s">
        <v>65</v>
      </c>
      <c r="X154" t="s">
        <v>45</v>
      </c>
      <c r="Y154">
        <v>7</v>
      </c>
      <c r="Z154">
        <v>14</v>
      </c>
      <c r="AA154">
        <v>5</v>
      </c>
      <c r="AB154" t="s">
        <v>130</v>
      </c>
      <c r="AC154" t="s">
        <v>56</v>
      </c>
      <c r="AD154">
        <v>2025</v>
      </c>
    </row>
    <row r="155" spans="1:30" x14ac:dyDescent="0.45">
      <c r="A155" t="s">
        <v>396</v>
      </c>
      <c r="B155" t="s">
        <v>397</v>
      </c>
      <c r="C155" t="str">
        <f>_xlfn.XLOOKUP(Sales_Data[[#This Row],[Product_ID]],Product_Master[Product_ID],Product_Master[Product],"Not Found")</f>
        <v>uPVC Windows</v>
      </c>
      <c r="D155" s="3">
        <v>45764</v>
      </c>
      <c r="E155" t="s">
        <v>59</v>
      </c>
      <c r="F155" t="s">
        <v>60</v>
      </c>
      <c r="G155" t="s">
        <v>82</v>
      </c>
      <c r="H155" t="s">
        <v>71</v>
      </c>
      <c r="I155" t="s">
        <v>62</v>
      </c>
      <c r="J155" t="s">
        <v>63</v>
      </c>
      <c r="K155" t="s">
        <v>31</v>
      </c>
      <c r="L155">
        <v>1</v>
      </c>
      <c r="M155">
        <v>17701</v>
      </c>
      <c r="N155">
        <v>0.15</v>
      </c>
      <c r="O155">
        <v>17701</v>
      </c>
      <c r="P155">
        <v>2655.15</v>
      </c>
      <c r="Q155">
        <v>15045.85</v>
      </c>
      <c r="R155">
        <f>YEAR(Sales_Data[[#This Row],[Order_Date]])</f>
        <v>2025</v>
      </c>
      <c r="S155" t="str">
        <f>TEXT(Sales_Data[[#This Row],[Order_Date]],"mmmm")</f>
        <v>April</v>
      </c>
      <c r="T155">
        <f t="shared" si="2"/>
        <v>4</v>
      </c>
      <c r="U155" t="str">
        <f>"Q"&amp;ROUNDUP(MONTH(Sales_Data[[#This Row],[Order_Date]])/3,0)</f>
        <v>Q2</v>
      </c>
      <c r="V155" t="s">
        <v>32</v>
      </c>
      <c r="W155" t="s">
        <v>65</v>
      </c>
      <c r="X155" t="s">
        <v>45</v>
      </c>
      <c r="Y155">
        <v>2</v>
      </c>
      <c r="Z155">
        <v>15</v>
      </c>
      <c r="AA155">
        <v>5</v>
      </c>
      <c r="AB155" t="s">
        <v>77</v>
      </c>
      <c r="AC155" t="s">
        <v>47</v>
      </c>
      <c r="AD155">
        <v>2025</v>
      </c>
    </row>
    <row r="156" spans="1:30" x14ac:dyDescent="0.45">
      <c r="A156" t="s">
        <v>398</v>
      </c>
      <c r="B156" t="s">
        <v>399</v>
      </c>
      <c r="C156" t="str">
        <f>_xlfn.XLOOKUP(Sales_Data[[#This Row],[Product_ID]],Product_Master[Product_ID],Product_Master[Product],"Not Found")</f>
        <v>uPVC Doors</v>
      </c>
      <c r="D156" s="3">
        <v>45718</v>
      </c>
      <c r="E156" t="s">
        <v>59</v>
      </c>
      <c r="F156" t="s">
        <v>39</v>
      </c>
      <c r="G156" t="s">
        <v>139</v>
      </c>
      <c r="H156" t="s">
        <v>119</v>
      </c>
      <c r="I156" t="s">
        <v>107</v>
      </c>
      <c r="J156" t="s">
        <v>108</v>
      </c>
      <c r="K156" t="s">
        <v>43</v>
      </c>
      <c r="L156">
        <v>3</v>
      </c>
      <c r="M156">
        <v>30683</v>
      </c>
      <c r="N156">
        <v>0.2</v>
      </c>
      <c r="O156">
        <v>92049</v>
      </c>
      <c r="P156">
        <v>18409.8</v>
      </c>
      <c r="Q156">
        <v>73639.199999999997</v>
      </c>
      <c r="R156">
        <f>YEAR(Sales_Data[[#This Row],[Order_Date]])</f>
        <v>2025</v>
      </c>
      <c r="S156" t="str">
        <f>TEXT(Sales_Data[[#This Row],[Order_Date]],"mmmm")</f>
        <v>March</v>
      </c>
      <c r="T156">
        <f t="shared" si="2"/>
        <v>3</v>
      </c>
      <c r="U156" t="str">
        <f>"Q"&amp;ROUNDUP(MONTH(Sales_Data[[#This Row],[Order_Date]])/3,0)</f>
        <v>Q1</v>
      </c>
      <c r="V156" t="s">
        <v>32</v>
      </c>
      <c r="W156" t="s">
        <v>65</v>
      </c>
      <c r="X156" t="s">
        <v>45</v>
      </c>
      <c r="Y156">
        <v>6</v>
      </c>
      <c r="Z156">
        <v>25</v>
      </c>
      <c r="AA156">
        <v>3</v>
      </c>
      <c r="AB156" t="s">
        <v>130</v>
      </c>
      <c r="AC156" t="s">
        <v>56</v>
      </c>
      <c r="AD156">
        <v>2025</v>
      </c>
    </row>
    <row r="157" spans="1:30" x14ac:dyDescent="0.45">
      <c r="A157" t="s">
        <v>400</v>
      </c>
      <c r="B157" t="s">
        <v>401</v>
      </c>
      <c r="C157" t="str">
        <f>_xlfn.XLOOKUP(Sales_Data[[#This Row],[Product_ID]],Product_Master[Product_ID],Product_Master[Product],"Not Found")</f>
        <v>Casement Windows</v>
      </c>
      <c r="D157" s="3">
        <v>45859</v>
      </c>
      <c r="E157" t="s">
        <v>59</v>
      </c>
      <c r="F157" t="s">
        <v>70</v>
      </c>
      <c r="G157" t="s">
        <v>50</v>
      </c>
      <c r="H157" t="s">
        <v>119</v>
      </c>
      <c r="I157" t="s">
        <v>75</v>
      </c>
      <c r="J157" t="s">
        <v>76</v>
      </c>
      <c r="K157" t="s">
        <v>31</v>
      </c>
      <c r="L157">
        <v>4</v>
      </c>
      <c r="M157">
        <v>27717</v>
      </c>
      <c r="N157">
        <v>0.15</v>
      </c>
      <c r="O157">
        <v>110868</v>
      </c>
      <c r="P157">
        <v>16630.2</v>
      </c>
      <c r="Q157">
        <v>94237.8</v>
      </c>
      <c r="R157">
        <f>YEAR(Sales_Data[[#This Row],[Order_Date]])</f>
        <v>2025</v>
      </c>
      <c r="S157" t="str">
        <f>TEXT(Sales_Data[[#This Row],[Order_Date]],"mmmm")</f>
        <v>July</v>
      </c>
      <c r="T157">
        <f t="shared" si="2"/>
        <v>7</v>
      </c>
      <c r="U157" t="str">
        <f>"Q"&amp;ROUNDUP(MONTH(Sales_Data[[#This Row],[Order_Date]])/3,0)</f>
        <v>Q3</v>
      </c>
      <c r="V157" t="s">
        <v>32</v>
      </c>
      <c r="W157" t="s">
        <v>33</v>
      </c>
      <c r="X157" t="s">
        <v>45</v>
      </c>
      <c r="Y157">
        <v>4</v>
      </c>
      <c r="Z157">
        <v>28</v>
      </c>
      <c r="AA157">
        <v>4</v>
      </c>
      <c r="AB157" t="s">
        <v>155</v>
      </c>
      <c r="AC157" t="s">
        <v>90</v>
      </c>
      <c r="AD157">
        <v>2025</v>
      </c>
    </row>
    <row r="158" spans="1:30" x14ac:dyDescent="0.45">
      <c r="A158" t="s">
        <v>402</v>
      </c>
      <c r="B158" t="s">
        <v>403</v>
      </c>
      <c r="C158" t="str">
        <f>_xlfn.XLOOKUP(Sales_Data[[#This Row],[Product_ID]],Product_Master[Product_ID],Product_Master[Product],"Not Found")</f>
        <v>Casement Windows</v>
      </c>
      <c r="D158" s="3">
        <v>45791</v>
      </c>
      <c r="E158" t="s">
        <v>59</v>
      </c>
      <c r="F158" t="s">
        <v>60</v>
      </c>
      <c r="G158" t="s">
        <v>116</v>
      </c>
      <c r="H158" t="s">
        <v>112</v>
      </c>
      <c r="I158" t="s">
        <v>75</v>
      </c>
      <c r="J158" t="s">
        <v>76</v>
      </c>
      <c r="K158" t="s">
        <v>31</v>
      </c>
      <c r="L158">
        <v>4</v>
      </c>
      <c r="M158">
        <v>26747</v>
      </c>
      <c r="N158">
        <v>0</v>
      </c>
      <c r="O158">
        <v>106988</v>
      </c>
      <c r="P158">
        <v>0</v>
      </c>
      <c r="Q158">
        <v>106988</v>
      </c>
      <c r="R158">
        <f>YEAR(Sales_Data[[#This Row],[Order_Date]])</f>
        <v>2025</v>
      </c>
      <c r="S158" t="str">
        <f>TEXT(Sales_Data[[#This Row],[Order_Date]],"mmmm")</f>
        <v>May</v>
      </c>
      <c r="T158">
        <f t="shared" si="2"/>
        <v>5</v>
      </c>
      <c r="U158" t="str">
        <f>"Q"&amp;ROUNDUP(MONTH(Sales_Data[[#This Row],[Order_Date]])/3,0)</f>
        <v>Q2</v>
      </c>
      <c r="V158" t="s">
        <v>32</v>
      </c>
      <c r="W158" t="s">
        <v>54</v>
      </c>
      <c r="X158" t="s">
        <v>45</v>
      </c>
      <c r="Y158">
        <v>2</v>
      </c>
      <c r="Z158">
        <v>19</v>
      </c>
      <c r="AA158">
        <v>2</v>
      </c>
      <c r="AB158" t="s">
        <v>72</v>
      </c>
      <c r="AC158" t="s">
        <v>47</v>
      </c>
      <c r="AD158">
        <v>2025</v>
      </c>
    </row>
    <row r="159" spans="1:30" x14ac:dyDescent="0.45">
      <c r="A159" t="s">
        <v>404</v>
      </c>
      <c r="B159" t="s">
        <v>405</v>
      </c>
      <c r="C159" t="str">
        <f>_xlfn.XLOOKUP(Sales_Data[[#This Row],[Product_ID]],Product_Master[Product_ID],Product_Master[Product],"Not Found")</f>
        <v>French Doors</v>
      </c>
      <c r="D159" s="3">
        <v>45819</v>
      </c>
      <c r="E159" t="s">
        <v>59</v>
      </c>
      <c r="F159" t="s">
        <v>70</v>
      </c>
      <c r="G159" t="s">
        <v>139</v>
      </c>
      <c r="H159" t="s">
        <v>112</v>
      </c>
      <c r="I159" t="s">
        <v>84</v>
      </c>
      <c r="J159" t="s">
        <v>85</v>
      </c>
      <c r="K159" t="s">
        <v>43</v>
      </c>
      <c r="L159">
        <v>1</v>
      </c>
      <c r="M159">
        <v>40024</v>
      </c>
      <c r="N159">
        <v>0.05</v>
      </c>
      <c r="O159">
        <v>40024</v>
      </c>
      <c r="P159">
        <v>2001.2</v>
      </c>
      <c r="Q159">
        <v>38022.800000000003</v>
      </c>
      <c r="R159">
        <f>YEAR(Sales_Data[[#This Row],[Order_Date]])</f>
        <v>2025</v>
      </c>
      <c r="S159" t="str">
        <f>TEXT(Sales_Data[[#This Row],[Order_Date]],"mmmm")</f>
        <v>June</v>
      </c>
      <c r="T159">
        <f t="shared" si="2"/>
        <v>6</v>
      </c>
      <c r="U159" t="str">
        <f>"Q"&amp;ROUNDUP(MONTH(Sales_Data[[#This Row],[Order_Date]])/3,0)</f>
        <v>Q2</v>
      </c>
      <c r="V159" t="s">
        <v>32</v>
      </c>
      <c r="W159" t="s">
        <v>33</v>
      </c>
      <c r="X159" t="s">
        <v>66</v>
      </c>
      <c r="Y159">
        <v>3</v>
      </c>
      <c r="Z159">
        <v>13</v>
      </c>
      <c r="AA159">
        <v>4</v>
      </c>
      <c r="AB159" t="s">
        <v>46</v>
      </c>
      <c r="AC159" t="s">
        <v>47</v>
      </c>
      <c r="AD159">
        <v>2025</v>
      </c>
    </row>
    <row r="160" spans="1:30" x14ac:dyDescent="0.45">
      <c r="A160" t="s">
        <v>406</v>
      </c>
      <c r="B160" t="s">
        <v>407</v>
      </c>
      <c r="C160" t="str">
        <f>_xlfn.XLOOKUP(Sales_Data[[#This Row],[Product_ID]],Product_Master[Product_ID],Product_Master[Product],"Not Found")</f>
        <v>Casement Windows</v>
      </c>
      <c r="D160" s="3">
        <v>45977</v>
      </c>
      <c r="E160" t="s">
        <v>25</v>
      </c>
      <c r="F160" t="s">
        <v>39</v>
      </c>
      <c r="G160" t="s">
        <v>139</v>
      </c>
      <c r="H160" t="s">
        <v>28</v>
      </c>
      <c r="I160" t="s">
        <v>75</v>
      </c>
      <c r="J160" t="s">
        <v>76</v>
      </c>
      <c r="K160" t="s">
        <v>31</v>
      </c>
      <c r="L160">
        <v>5</v>
      </c>
      <c r="M160">
        <v>25591</v>
      </c>
      <c r="N160">
        <v>0</v>
      </c>
      <c r="O160">
        <v>127955</v>
      </c>
      <c r="P160">
        <v>0</v>
      </c>
      <c r="Q160">
        <v>127955</v>
      </c>
      <c r="R160">
        <f>YEAR(Sales_Data[[#This Row],[Order_Date]])</f>
        <v>2025</v>
      </c>
      <c r="S160" t="str">
        <f>TEXT(Sales_Data[[#This Row],[Order_Date]],"mmmm")</f>
        <v>November</v>
      </c>
      <c r="T160">
        <f t="shared" si="2"/>
        <v>11</v>
      </c>
      <c r="U160" t="str">
        <f>"Q"&amp;ROUNDUP(MONTH(Sales_Data[[#This Row],[Order_Date]])/3,0)</f>
        <v>Q4</v>
      </c>
      <c r="V160" t="s">
        <v>32</v>
      </c>
      <c r="W160" t="s">
        <v>54</v>
      </c>
      <c r="X160" t="s">
        <v>45</v>
      </c>
      <c r="Y160">
        <v>1</v>
      </c>
      <c r="Z160">
        <v>11</v>
      </c>
      <c r="AA160">
        <v>4</v>
      </c>
      <c r="AB160" t="s">
        <v>67</v>
      </c>
      <c r="AC160" t="s">
        <v>36</v>
      </c>
      <c r="AD160">
        <v>2025</v>
      </c>
    </row>
    <row r="161" spans="1:30" x14ac:dyDescent="0.45">
      <c r="A161" t="s">
        <v>408</v>
      </c>
      <c r="B161" t="s">
        <v>409</v>
      </c>
      <c r="C161" t="str">
        <f>_xlfn.XLOOKUP(Sales_Data[[#This Row],[Product_ID]],Product_Master[Product_ID],Product_Master[Product],"Not Found")</f>
        <v>uPVC Windows</v>
      </c>
      <c r="D161" s="3">
        <v>45719</v>
      </c>
      <c r="E161" t="s">
        <v>59</v>
      </c>
      <c r="F161" t="s">
        <v>70</v>
      </c>
      <c r="G161" t="s">
        <v>82</v>
      </c>
      <c r="H161" t="s">
        <v>28</v>
      </c>
      <c r="I161" t="s">
        <v>62</v>
      </c>
      <c r="J161" t="s">
        <v>63</v>
      </c>
      <c r="K161" t="s">
        <v>31</v>
      </c>
      <c r="L161">
        <v>1</v>
      </c>
      <c r="M161">
        <v>20057</v>
      </c>
      <c r="N161">
        <v>0.1</v>
      </c>
      <c r="O161">
        <v>20057</v>
      </c>
      <c r="P161">
        <v>2005.7</v>
      </c>
      <c r="Q161">
        <v>18051.3</v>
      </c>
      <c r="R161">
        <f>YEAR(Sales_Data[[#This Row],[Order_Date]])</f>
        <v>2025</v>
      </c>
      <c r="S161" t="str">
        <f>TEXT(Sales_Data[[#This Row],[Order_Date]],"mmmm")</f>
        <v>March</v>
      </c>
      <c r="T161">
        <f t="shared" si="2"/>
        <v>3</v>
      </c>
      <c r="U161" t="str">
        <f>"Q"&amp;ROUNDUP(MONTH(Sales_Data[[#This Row],[Order_Date]])/3,0)</f>
        <v>Q1</v>
      </c>
      <c r="V161" t="s">
        <v>32</v>
      </c>
      <c r="W161" t="s">
        <v>65</v>
      </c>
      <c r="X161" t="s">
        <v>66</v>
      </c>
      <c r="Y161">
        <v>6</v>
      </c>
      <c r="Z161">
        <v>13</v>
      </c>
      <c r="AA161">
        <v>4</v>
      </c>
      <c r="AB161" t="s">
        <v>130</v>
      </c>
      <c r="AC161" t="s">
        <v>56</v>
      </c>
      <c r="AD161">
        <v>2025</v>
      </c>
    </row>
    <row r="162" spans="1:30" x14ac:dyDescent="0.45">
      <c r="A162" t="s">
        <v>410</v>
      </c>
      <c r="B162" t="s">
        <v>411</v>
      </c>
      <c r="C162" t="str">
        <f>_xlfn.XLOOKUP(Sales_Data[[#This Row],[Product_ID]],Product_Master[Product_ID],Product_Master[Product],"Not Found")</f>
        <v>Sliding Doors</v>
      </c>
      <c r="D162" s="3">
        <v>45868</v>
      </c>
      <c r="E162" t="s">
        <v>59</v>
      </c>
      <c r="F162" t="s">
        <v>70</v>
      </c>
      <c r="G162" t="s">
        <v>50</v>
      </c>
      <c r="H162" t="s">
        <v>112</v>
      </c>
      <c r="I162" t="s">
        <v>101</v>
      </c>
      <c r="J162" t="s">
        <v>102</v>
      </c>
      <c r="K162" t="s">
        <v>43</v>
      </c>
      <c r="L162">
        <v>4</v>
      </c>
      <c r="M162">
        <v>37994</v>
      </c>
      <c r="N162">
        <v>0</v>
      </c>
      <c r="O162">
        <v>151976</v>
      </c>
      <c r="P162">
        <v>0</v>
      </c>
      <c r="Q162">
        <v>151976</v>
      </c>
      <c r="R162">
        <f>YEAR(Sales_Data[[#This Row],[Order_Date]])</f>
        <v>2025</v>
      </c>
      <c r="S162" t="str">
        <f>TEXT(Sales_Data[[#This Row],[Order_Date]],"mmmm")</f>
        <v>July</v>
      </c>
      <c r="T162">
        <f t="shared" si="2"/>
        <v>7</v>
      </c>
      <c r="U162" t="str">
        <f>"Q"&amp;ROUNDUP(MONTH(Sales_Data[[#This Row],[Order_Date]])/3,0)</f>
        <v>Q3</v>
      </c>
      <c r="V162" t="s">
        <v>64</v>
      </c>
      <c r="W162" t="s">
        <v>54</v>
      </c>
      <c r="X162" t="s">
        <v>66</v>
      </c>
      <c r="Y162">
        <v>3</v>
      </c>
      <c r="Z162">
        <v>25</v>
      </c>
      <c r="AA162">
        <v>5</v>
      </c>
      <c r="AB162" t="s">
        <v>155</v>
      </c>
      <c r="AC162" t="s">
        <v>90</v>
      </c>
      <c r="AD162">
        <v>2025</v>
      </c>
    </row>
    <row r="163" spans="1:30" x14ac:dyDescent="0.45">
      <c r="A163" t="s">
        <v>412</v>
      </c>
      <c r="B163" t="s">
        <v>413</v>
      </c>
      <c r="C163" t="str">
        <f>_xlfn.XLOOKUP(Sales_Data[[#This Row],[Product_ID]],Product_Master[Product_ID],Product_Master[Product],"Not Found")</f>
        <v>French Doors</v>
      </c>
      <c r="D163" s="3">
        <v>45795</v>
      </c>
      <c r="E163" t="s">
        <v>25</v>
      </c>
      <c r="F163" t="s">
        <v>26</v>
      </c>
      <c r="G163" t="s">
        <v>111</v>
      </c>
      <c r="H163" t="s">
        <v>83</v>
      </c>
      <c r="I163" t="s">
        <v>84</v>
      </c>
      <c r="J163" t="s">
        <v>85</v>
      </c>
      <c r="K163" t="s">
        <v>43</v>
      </c>
      <c r="L163">
        <v>4</v>
      </c>
      <c r="M163">
        <v>45630</v>
      </c>
      <c r="N163">
        <v>0.1</v>
      </c>
      <c r="O163">
        <v>182520</v>
      </c>
      <c r="P163">
        <v>18252</v>
      </c>
      <c r="Q163">
        <v>164268</v>
      </c>
      <c r="R163">
        <f>YEAR(Sales_Data[[#This Row],[Order_Date]])</f>
        <v>2025</v>
      </c>
      <c r="S163" t="str">
        <f>TEXT(Sales_Data[[#This Row],[Order_Date]],"mmmm")</f>
        <v>May</v>
      </c>
      <c r="T163">
        <f t="shared" si="2"/>
        <v>5</v>
      </c>
      <c r="U163" t="str">
        <f>"Q"&amp;ROUNDUP(MONTH(Sales_Data[[#This Row],[Order_Date]])/3,0)</f>
        <v>Q2</v>
      </c>
      <c r="V163" t="s">
        <v>32</v>
      </c>
      <c r="W163" t="s">
        <v>33</v>
      </c>
      <c r="X163" t="s">
        <v>93</v>
      </c>
      <c r="Y163">
        <v>1</v>
      </c>
      <c r="Z163">
        <v>10</v>
      </c>
      <c r="AA163">
        <v>4</v>
      </c>
      <c r="AB163" t="s">
        <v>72</v>
      </c>
      <c r="AC163" t="s">
        <v>47</v>
      </c>
      <c r="AD163">
        <v>2025</v>
      </c>
    </row>
    <row r="164" spans="1:30" x14ac:dyDescent="0.45">
      <c r="A164" t="s">
        <v>414</v>
      </c>
      <c r="B164" t="s">
        <v>415</v>
      </c>
      <c r="C164" t="str">
        <f>_xlfn.XLOOKUP(Sales_Data[[#This Row],[Product_ID]],Product_Master[Product_ID],Product_Master[Product],"Not Found")</f>
        <v>Casement Windows</v>
      </c>
      <c r="D164" s="3">
        <v>45753</v>
      </c>
      <c r="E164" t="s">
        <v>25</v>
      </c>
      <c r="F164" t="s">
        <v>26</v>
      </c>
      <c r="G164" t="s">
        <v>61</v>
      </c>
      <c r="H164" t="s">
        <v>112</v>
      </c>
      <c r="I164" t="s">
        <v>75</v>
      </c>
      <c r="J164" t="s">
        <v>76</v>
      </c>
      <c r="K164" t="s">
        <v>31</v>
      </c>
      <c r="L164">
        <v>3</v>
      </c>
      <c r="M164">
        <v>28758</v>
      </c>
      <c r="N164">
        <v>0.1</v>
      </c>
      <c r="O164">
        <v>86274</v>
      </c>
      <c r="P164">
        <v>8627.4</v>
      </c>
      <c r="Q164">
        <v>77646.600000000006</v>
      </c>
      <c r="R164">
        <f>YEAR(Sales_Data[[#This Row],[Order_Date]])</f>
        <v>2025</v>
      </c>
      <c r="S164" t="str">
        <f>TEXT(Sales_Data[[#This Row],[Order_Date]],"mmmm")</f>
        <v>April</v>
      </c>
      <c r="T164">
        <f t="shared" si="2"/>
        <v>4</v>
      </c>
      <c r="U164" t="str">
        <f>"Q"&amp;ROUNDUP(MONTH(Sales_Data[[#This Row],[Order_Date]])/3,0)</f>
        <v>Q2</v>
      </c>
      <c r="V164" t="s">
        <v>32</v>
      </c>
      <c r="W164" t="s">
        <v>33</v>
      </c>
      <c r="X164" t="s">
        <v>45</v>
      </c>
      <c r="Y164">
        <v>7</v>
      </c>
      <c r="Z164">
        <v>11</v>
      </c>
      <c r="AA164">
        <v>5</v>
      </c>
      <c r="AB164" t="s">
        <v>77</v>
      </c>
      <c r="AC164" t="s">
        <v>47</v>
      </c>
      <c r="AD164">
        <v>2025</v>
      </c>
    </row>
    <row r="165" spans="1:30" x14ac:dyDescent="0.45">
      <c r="A165" t="s">
        <v>416</v>
      </c>
      <c r="B165" t="s">
        <v>417</v>
      </c>
      <c r="C165" t="str">
        <f>_xlfn.XLOOKUP(Sales_Data[[#This Row],[Product_ID]],Product_Master[Product_ID],Product_Master[Product],"Not Found")</f>
        <v>Casement Windows</v>
      </c>
      <c r="D165" s="3">
        <v>45686</v>
      </c>
      <c r="E165" t="s">
        <v>59</v>
      </c>
      <c r="F165" t="s">
        <v>39</v>
      </c>
      <c r="G165" t="s">
        <v>50</v>
      </c>
      <c r="H165" t="s">
        <v>119</v>
      </c>
      <c r="I165" t="s">
        <v>75</v>
      </c>
      <c r="J165" t="s">
        <v>76</v>
      </c>
      <c r="K165" t="s">
        <v>31</v>
      </c>
      <c r="L165">
        <v>3</v>
      </c>
      <c r="M165">
        <v>26274</v>
      </c>
      <c r="N165">
        <v>0.1</v>
      </c>
      <c r="O165">
        <v>78822</v>
      </c>
      <c r="P165">
        <v>7882.2</v>
      </c>
      <c r="Q165">
        <v>70939.8</v>
      </c>
      <c r="R165">
        <f>YEAR(Sales_Data[[#This Row],[Order_Date]])</f>
        <v>2025</v>
      </c>
      <c r="S165" t="str">
        <f>TEXT(Sales_Data[[#This Row],[Order_Date]],"mmmm")</f>
        <v>January</v>
      </c>
      <c r="T165">
        <f t="shared" si="2"/>
        <v>1</v>
      </c>
      <c r="U165" t="str">
        <f>"Q"&amp;ROUNDUP(MONTH(Sales_Data[[#This Row],[Order_Date]])/3,0)</f>
        <v>Q1</v>
      </c>
      <c r="V165" t="s">
        <v>98</v>
      </c>
      <c r="W165" t="s">
        <v>33</v>
      </c>
      <c r="X165" t="s">
        <v>45</v>
      </c>
      <c r="Y165">
        <v>4</v>
      </c>
      <c r="Z165">
        <v>9</v>
      </c>
      <c r="AA165">
        <v>5</v>
      </c>
      <c r="AB165" t="s">
        <v>144</v>
      </c>
      <c r="AC165" t="s">
        <v>56</v>
      </c>
      <c r="AD165">
        <v>2025</v>
      </c>
    </row>
    <row r="166" spans="1:30" x14ac:dyDescent="0.45">
      <c r="A166" t="s">
        <v>418</v>
      </c>
      <c r="B166" t="s">
        <v>419</v>
      </c>
      <c r="C166" t="str">
        <f>_xlfn.XLOOKUP(Sales_Data[[#This Row],[Product_ID]],Product_Master[Product_ID],Product_Master[Product],"Not Found")</f>
        <v>Casement Windows</v>
      </c>
      <c r="D166" s="3">
        <v>45708</v>
      </c>
      <c r="E166" t="s">
        <v>59</v>
      </c>
      <c r="F166" t="s">
        <v>26</v>
      </c>
      <c r="G166" t="s">
        <v>50</v>
      </c>
      <c r="H166" t="s">
        <v>112</v>
      </c>
      <c r="I166" t="s">
        <v>75</v>
      </c>
      <c r="J166" t="s">
        <v>76</v>
      </c>
      <c r="K166" t="s">
        <v>31</v>
      </c>
      <c r="L166">
        <v>5</v>
      </c>
      <c r="M166">
        <v>29777</v>
      </c>
      <c r="N166">
        <v>0.1</v>
      </c>
      <c r="O166">
        <v>148885</v>
      </c>
      <c r="P166">
        <v>14888.5</v>
      </c>
      <c r="Q166">
        <v>133996.5</v>
      </c>
      <c r="R166">
        <f>YEAR(Sales_Data[[#This Row],[Order_Date]])</f>
        <v>2025</v>
      </c>
      <c r="S166" t="str">
        <f>TEXT(Sales_Data[[#This Row],[Order_Date]],"mmmm")</f>
        <v>February</v>
      </c>
      <c r="T166">
        <f t="shared" si="2"/>
        <v>2</v>
      </c>
      <c r="U166" t="str">
        <f>"Q"&amp;ROUNDUP(MONTH(Sales_Data[[#This Row],[Order_Date]])/3,0)</f>
        <v>Q1</v>
      </c>
      <c r="V166" t="s">
        <v>44</v>
      </c>
      <c r="W166" t="s">
        <v>33</v>
      </c>
      <c r="X166" t="s">
        <v>45</v>
      </c>
      <c r="Y166">
        <v>2</v>
      </c>
      <c r="Z166">
        <v>27</v>
      </c>
      <c r="AA166">
        <v>5</v>
      </c>
      <c r="AB166" t="s">
        <v>55</v>
      </c>
      <c r="AC166" t="s">
        <v>56</v>
      </c>
      <c r="AD166">
        <v>2025</v>
      </c>
    </row>
    <row r="167" spans="1:30" x14ac:dyDescent="0.45">
      <c r="A167" t="s">
        <v>420</v>
      </c>
      <c r="B167" t="s">
        <v>421</v>
      </c>
      <c r="C167" t="str">
        <f>_xlfn.XLOOKUP(Sales_Data[[#This Row],[Product_ID]],Product_Master[Product_ID],Product_Master[Product],"Not Found")</f>
        <v>Soundproof Windows</v>
      </c>
      <c r="D167" s="3">
        <v>45732</v>
      </c>
      <c r="E167" t="s">
        <v>59</v>
      </c>
      <c r="F167" t="s">
        <v>70</v>
      </c>
      <c r="G167" t="s">
        <v>116</v>
      </c>
      <c r="H167" t="s">
        <v>71</v>
      </c>
      <c r="I167" t="s">
        <v>29</v>
      </c>
      <c r="J167" t="s">
        <v>30</v>
      </c>
      <c r="K167" t="s">
        <v>31</v>
      </c>
      <c r="L167">
        <v>5</v>
      </c>
      <c r="M167">
        <v>50779</v>
      </c>
      <c r="N167">
        <v>0</v>
      </c>
      <c r="O167">
        <v>253895</v>
      </c>
      <c r="P167">
        <v>0</v>
      </c>
      <c r="Q167">
        <v>253895</v>
      </c>
      <c r="R167">
        <f>YEAR(Sales_Data[[#This Row],[Order_Date]])</f>
        <v>2025</v>
      </c>
      <c r="S167" t="str">
        <f>TEXT(Sales_Data[[#This Row],[Order_Date]],"mmmm")</f>
        <v>March</v>
      </c>
      <c r="T167">
        <f t="shared" si="2"/>
        <v>3</v>
      </c>
      <c r="U167" t="str">
        <f>"Q"&amp;ROUNDUP(MONTH(Sales_Data[[#This Row],[Order_Date]])/3,0)</f>
        <v>Q1</v>
      </c>
      <c r="V167" t="s">
        <v>32</v>
      </c>
      <c r="W167" t="s">
        <v>33</v>
      </c>
      <c r="X167" t="s">
        <v>66</v>
      </c>
      <c r="Y167">
        <v>7</v>
      </c>
      <c r="Z167">
        <v>8</v>
      </c>
      <c r="AA167">
        <v>4</v>
      </c>
      <c r="AB167" t="s">
        <v>130</v>
      </c>
      <c r="AC167" t="s">
        <v>56</v>
      </c>
      <c r="AD167">
        <v>2025</v>
      </c>
    </row>
    <row r="168" spans="1:30" x14ac:dyDescent="0.45">
      <c r="A168" t="s">
        <v>422</v>
      </c>
      <c r="B168" t="s">
        <v>423</v>
      </c>
      <c r="C168" t="str">
        <f>_xlfn.XLOOKUP(Sales_Data[[#This Row],[Product_ID]],Product_Master[Product_ID],Product_Master[Product],"Not Found")</f>
        <v>Soundproof Windows</v>
      </c>
      <c r="D168" s="3">
        <v>45871</v>
      </c>
      <c r="E168" t="s">
        <v>25</v>
      </c>
      <c r="F168" t="s">
        <v>26</v>
      </c>
      <c r="G168" t="s">
        <v>50</v>
      </c>
      <c r="H168" t="s">
        <v>51</v>
      </c>
      <c r="I168" t="s">
        <v>29</v>
      </c>
      <c r="J168" t="s">
        <v>30</v>
      </c>
      <c r="K168" t="s">
        <v>31</v>
      </c>
      <c r="L168">
        <v>2</v>
      </c>
      <c r="M168">
        <v>51213</v>
      </c>
      <c r="N168">
        <v>0.15</v>
      </c>
      <c r="O168">
        <v>102426</v>
      </c>
      <c r="P168">
        <v>15363.9</v>
      </c>
      <c r="Q168">
        <v>87062.1</v>
      </c>
      <c r="R168">
        <f>YEAR(Sales_Data[[#This Row],[Order_Date]])</f>
        <v>2025</v>
      </c>
      <c r="S168" t="str">
        <f>TEXT(Sales_Data[[#This Row],[Order_Date]],"mmmm")</f>
        <v>August</v>
      </c>
      <c r="T168">
        <f t="shared" si="2"/>
        <v>8</v>
      </c>
      <c r="U168" t="str">
        <f>"Q"&amp;ROUNDUP(MONTH(Sales_Data[[#This Row],[Order_Date]])/3,0)</f>
        <v>Q3</v>
      </c>
      <c r="V168" t="s">
        <v>64</v>
      </c>
      <c r="W168" t="s">
        <v>33</v>
      </c>
      <c r="X168" t="s">
        <v>34</v>
      </c>
      <c r="Y168">
        <v>4</v>
      </c>
      <c r="Z168">
        <v>12</v>
      </c>
      <c r="AA168">
        <v>5</v>
      </c>
      <c r="AB168" t="s">
        <v>123</v>
      </c>
      <c r="AC168" t="s">
        <v>90</v>
      </c>
      <c r="AD168">
        <v>2025</v>
      </c>
    </row>
    <row r="169" spans="1:30" x14ac:dyDescent="0.45">
      <c r="A169" t="s">
        <v>424</v>
      </c>
      <c r="B169" t="s">
        <v>425</v>
      </c>
      <c r="C169" t="str">
        <f>_xlfn.XLOOKUP(Sales_Data[[#This Row],[Product_ID]],Product_Master[Product_ID],Product_Master[Product],"Not Found")</f>
        <v>Sliding Doors</v>
      </c>
      <c r="D169" s="3">
        <v>45807</v>
      </c>
      <c r="E169" t="s">
        <v>25</v>
      </c>
      <c r="F169" t="s">
        <v>39</v>
      </c>
      <c r="G169" t="s">
        <v>61</v>
      </c>
      <c r="H169" t="s">
        <v>83</v>
      </c>
      <c r="I169" t="s">
        <v>101</v>
      </c>
      <c r="J169" t="s">
        <v>102</v>
      </c>
      <c r="K169" t="s">
        <v>43</v>
      </c>
      <c r="L169">
        <v>4</v>
      </c>
      <c r="M169">
        <v>31777</v>
      </c>
      <c r="N169">
        <v>0.05</v>
      </c>
      <c r="O169">
        <v>127108</v>
      </c>
      <c r="P169">
        <v>6355.4</v>
      </c>
      <c r="Q169">
        <v>120752.6</v>
      </c>
      <c r="R169">
        <f>YEAR(Sales_Data[[#This Row],[Order_Date]])</f>
        <v>2025</v>
      </c>
      <c r="S169" t="str">
        <f>TEXT(Sales_Data[[#This Row],[Order_Date]],"mmmm")</f>
        <v>May</v>
      </c>
      <c r="T169">
        <f t="shared" si="2"/>
        <v>5</v>
      </c>
      <c r="U169" t="str">
        <f>"Q"&amp;ROUNDUP(MONTH(Sales_Data[[#This Row],[Order_Date]])/3,0)</f>
        <v>Q2</v>
      </c>
      <c r="V169" t="s">
        <v>98</v>
      </c>
      <c r="W169" t="s">
        <v>54</v>
      </c>
      <c r="X169" t="s">
        <v>34</v>
      </c>
      <c r="Y169">
        <v>7</v>
      </c>
      <c r="Z169">
        <v>20</v>
      </c>
      <c r="AA169">
        <v>5</v>
      </c>
      <c r="AB169" t="s">
        <v>72</v>
      </c>
      <c r="AC169" t="s">
        <v>47</v>
      </c>
      <c r="AD169">
        <v>2025</v>
      </c>
    </row>
    <row r="170" spans="1:30" x14ac:dyDescent="0.45">
      <c r="A170" t="s">
        <v>426</v>
      </c>
      <c r="B170" t="s">
        <v>427</v>
      </c>
      <c r="C170" t="str">
        <f>_xlfn.XLOOKUP(Sales_Data[[#This Row],[Product_ID]],Product_Master[Product_ID],Product_Master[Product],"Not Found")</f>
        <v>French Doors</v>
      </c>
      <c r="D170" s="3">
        <v>45715</v>
      </c>
      <c r="E170" t="s">
        <v>25</v>
      </c>
      <c r="F170" t="s">
        <v>26</v>
      </c>
      <c r="G170" t="s">
        <v>61</v>
      </c>
      <c r="H170" t="s">
        <v>83</v>
      </c>
      <c r="I170" t="s">
        <v>84</v>
      </c>
      <c r="J170" t="s">
        <v>85</v>
      </c>
      <c r="K170" t="s">
        <v>43</v>
      </c>
      <c r="L170">
        <v>2</v>
      </c>
      <c r="M170">
        <v>42786</v>
      </c>
      <c r="N170">
        <v>0</v>
      </c>
      <c r="O170">
        <v>85572</v>
      </c>
      <c r="P170">
        <v>0</v>
      </c>
      <c r="Q170">
        <v>85572</v>
      </c>
      <c r="R170">
        <f>YEAR(Sales_Data[[#This Row],[Order_Date]])</f>
        <v>2025</v>
      </c>
      <c r="S170" t="str">
        <f>TEXT(Sales_Data[[#This Row],[Order_Date]],"mmmm")</f>
        <v>February</v>
      </c>
      <c r="T170">
        <f t="shared" si="2"/>
        <v>2</v>
      </c>
      <c r="U170" t="str">
        <f>"Q"&amp;ROUNDUP(MONTH(Sales_Data[[#This Row],[Order_Date]])/3,0)</f>
        <v>Q1</v>
      </c>
      <c r="V170" t="s">
        <v>32</v>
      </c>
      <c r="W170" t="s">
        <v>33</v>
      </c>
      <c r="X170" t="s">
        <v>93</v>
      </c>
      <c r="Y170">
        <v>1</v>
      </c>
      <c r="Z170">
        <v>12</v>
      </c>
      <c r="AA170">
        <v>2</v>
      </c>
      <c r="AB170" t="s">
        <v>55</v>
      </c>
      <c r="AC170" t="s">
        <v>56</v>
      </c>
      <c r="AD170">
        <v>2025</v>
      </c>
    </row>
    <row r="171" spans="1:30" x14ac:dyDescent="0.45">
      <c r="A171" t="s">
        <v>428</v>
      </c>
      <c r="B171" t="s">
        <v>429</v>
      </c>
      <c r="C171" t="str">
        <f>_xlfn.XLOOKUP(Sales_Data[[#This Row],[Product_ID]],Product_Master[Product_ID],Product_Master[Product],"Not Found")</f>
        <v>Aluminium Windows</v>
      </c>
      <c r="D171" s="3">
        <v>45785</v>
      </c>
      <c r="E171" t="s">
        <v>25</v>
      </c>
      <c r="F171" t="s">
        <v>60</v>
      </c>
      <c r="G171" t="s">
        <v>139</v>
      </c>
      <c r="H171" t="s">
        <v>71</v>
      </c>
      <c r="I171" t="s">
        <v>52</v>
      </c>
      <c r="J171" t="s">
        <v>53</v>
      </c>
      <c r="K171" t="s">
        <v>31</v>
      </c>
      <c r="L171">
        <v>6</v>
      </c>
      <c r="M171">
        <v>21514</v>
      </c>
      <c r="N171">
        <v>0</v>
      </c>
      <c r="O171">
        <v>129084</v>
      </c>
      <c r="P171">
        <v>0</v>
      </c>
      <c r="Q171">
        <v>129084</v>
      </c>
      <c r="R171">
        <f>YEAR(Sales_Data[[#This Row],[Order_Date]])</f>
        <v>2025</v>
      </c>
      <c r="S171" t="str">
        <f>TEXT(Sales_Data[[#This Row],[Order_Date]],"mmmm")</f>
        <v>May</v>
      </c>
      <c r="T171">
        <f t="shared" si="2"/>
        <v>5</v>
      </c>
      <c r="U171" t="str">
        <f>"Q"&amp;ROUNDUP(MONTH(Sales_Data[[#This Row],[Order_Date]])/3,0)</f>
        <v>Q2</v>
      </c>
      <c r="V171" t="s">
        <v>32</v>
      </c>
      <c r="W171" t="s">
        <v>54</v>
      </c>
      <c r="X171" t="s">
        <v>45</v>
      </c>
      <c r="Y171">
        <v>7</v>
      </c>
      <c r="Z171">
        <v>14</v>
      </c>
      <c r="AA171">
        <v>4</v>
      </c>
      <c r="AB171" t="s">
        <v>72</v>
      </c>
      <c r="AC171" t="s">
        <v>47</v>
      </c>
      <c r="AD171">
        <v>2025</v>
      </c>
    </row>
    <row r="172" spans="1:30" x14ac:dyDescent="0.45">
      <c r="A172" t="s">
        <v>430</v>
      </c>
      <c r="B172" t="s">
        <v>431</v>
      </c>
      <c r="C172" t="str">
        <f>_xlfn.XLOOKUP(Sales_Data[[#This Row],[Product_ID]],Product_Master[Product_ID],Product_Master[Product],"Not Found")</f>
        <v>uPVC Doors</v>
      </c>
      <c r="D172" s="3">
        <v>46006</v>
      </c>
      <c r="E172" t="s">
        <v>59</v>
      </c>
      <c r="F172" t="s">
        <v>70</v>
      </c>
      <c r="G172" t="s">
        <v>27</v>
      </c>
      <c r="H172" t="s">
        <v>28</v>
      </c>
      <c r="I172" t="s">
        <v>107</v>
      </c>
      <c r="J172" t="s">
        <v>108</v>
      </c>
      <c r="K172" t="s">
        <v>43</v>
      </c>
      <c r="L172">
        <v>5</v>
      </c>
      <c r="M172">
        <v>28313</v>
      </c>
      <c r="N172">
        <v>0.1</v>
      </c>
      <c r="O172">
        <v>141565</v>
      </c>
      <c r="P172">
        <v>14156.5</v>
      </c>
      <c r="Q172">
        <v>127408.5</v>
      </c>
      <c r="R172">
        <f>YEAR(Sales_Data[[#This Row],[Order_Date]])</f>
        <v>2025</v>
      </c>
      <c r="S172" t="str">
        <f>TEXT(Sales_Data[[#This Row],[Order_Date]],"mmmm")</f>
        <v>December</v>
      </c>
      <c r="T172">
        <f t="shared" si="2"/>
        <v>12</v>
      </c>
      <c r="U172" t="str">
        <f>"Q"&amp;ROUNDUP(MONTH(Sales_Data[[#This Row],[Order_Date]])/3,0)</f>
        <v>Q4</v>
      </c>
      <c r="V172" t="s">
        <v>98</v>
      </c>
      <c r="W172" t="s">
        <v>33</v>
      </c>
      <c r="X172" t="s">
        <v>45</v>
      </c>
      <c r="Y172">
        <v>5</v>
      </c>
      <c r="Z172">
        <v>17</v>
      </c>
      <c r="AA172">
        <v>5</v>
      </c>
      <c r="AB172" t="s">
        <v>113</v>
      </c>
      <c r="AC172" t="s">
        <v>36</v>
      </c>
      <c r="AD172">
        <v>2025</v>
      </c>
    </row>
    <row r="173" spans="1:30" x14ac:dyDescent="0.45">
      <c r="A173" t="s">
        <v>432</v>
      </c>
      <c r="B173" t="s">
        <v>433</v>
      </c>
      <c r="C173" t="str">
        <f>_xlfn.XLOOKUP(Sales_Data[[#This Row],[Product_ID]],Product_Master[Product_ID],Product_Master[Product],"Not Found")</f>
        <v>Aluminium Windows</v>
      </c>
      <c r="D173" s="3">
        <v>45933</v>
      </c>
      <c r="E173" t="s">
        <v>59</v>
      </c>
      <c r="F173" t="s">
        <v>39</v>
      </c>
      <c r="G173" t="s">
        <v>139</v>
      </c>
      <c r="H173" t="s">
        <v>28</v>
      </c>
      <c r="I173" t="s">
        <v>52</v>
      </c>
      <c r="J173" t="s">
        <v>53</v>
      </c>
      <c r="K173" t="s">
        <v>31</v>
      </c>
      <c r="L173">
        <v>4</v>
      </c>
      <c r="M173">
        <v>23926</v>
      </c>
      <c r="N173">
        <v>0</v>
      </c>
      <c r="O173">
        <v>95704</v>
      </c>
      <c r="P173">
        <v>0</v>
      </c>
      <c r="Q173">
        <v>95704</v>
      </c>
      <c r="R173">
        <f>YEAR(Sales_Data[[#This Row],[Order_Date]])</f>
        <v>2025</v>
      </c>
      <c r="S173" t="str">
        <f>TEXT(Sales_Data[[#This Row],[Order_Date]],"mmmm")</f>
        <v>October</v>
      </c>
      <c r="T173">
        <f t="shared" si="2"/>
        <v>10</v>
      </c>
      <c r="U173" t="str">
        <f>"Q"&amp;ROUNDUP(MONTH(Sales_Data[[#This Row],[Order_Date]])/3,0)</f>
        <v>Q4</v>
      </c>
      <c r="V173" t="s">
        <v>32</v>
      </c>
      <c r="W173" t="s">
        <v>33</v>
      </c>
      <c r="X173" t="s">
        <v>66</v>
      </c>
      <c r="Y173">
        <v>5</v>
      </c>
      <c r="Z173">
        <v>27</v>
      </c>
      <c r="AA173">
        <v>4</v>
      </c>
      <c r="AB173" t="s">
        <v>35</v>
      </c>
      <c r="AC173" t="s">
        <v>36</v>
      </c>
      <c r="AD173">
        <v>2025</v>
      </c>
    </row>
    <row r="174" spans="1:30" x14ac:dyDescent="0.45">
      <c r="A174" t="s">
        <v>434</v>
      </c>
      <c r="B174" t="s">
        <v>435</v>
      </c>
      <c r="C174" t="str">
        <f>_xlfn.XLOOKUP(Sales_Data[[#This Row],[Product_ID]],Product_Master[Product_ID],Product_Master[Product],"Not Found")</f>
        <v>Soundproof Windows</v>
      </c>
      <c r="D174" s="3">
        <v>45972</v>
      </c>
      <c r="E174" t="s">
        <v>59</v>
      </c>
      <c r="F174" t="s">
        <v>39</v>
      </c>
      <c r="G174" t="s">
        <v>50</v>
      </c>
      <c r="H174" t="s">
        <v>71</v>
      </c>
      <c r="I174" t="s">
        <v>29</v>
      </c>
      <c r="J174" t="s">
        <v>30</v>
      </c>
      <c r="K174" t="s">
        <v>31</v>
      </c>
      <c r="L174">
        <v>2</v>
      </c>
      <c r="M174">
        <v>52629</v>
      </c>
      <c r="N174">
        <v>0.1</v>
      </c>
      <c r="O174">
        <v>105258</v>
      </c>
      <c r="P174">
        <v>10525.8</v>
      </c>
      <c r="Q174">
        <v>94732.2</v>
      </c>
      <c r="R174">
        <f>YEAR(Sales_Data[[#This Row],[Order_Date]])</f>
        <v>2025</v>
      </c>
      <c r="S174" t="str">
        <f>TEXT(Sales_Data[[#This Row],[Order_Date]],"mmmm")</f>
        <v>November</v>
      </c>
      <c r="T174">
        <f t="shared" si="2"/>
        <v>11</v>
      </c>
      <c r="U174" t="str">
        <f>"Q"&amp;ROUNDUP(MONTH(Sales_Data[[#This Row],[Order_Date]])/3,0)</f>
        <v>Q4</v>
      </c>
      <c r="V174" t="s">
        <v>64</v>
      </c>
      <c r="W174" t="s">
        <v>33</v>
      </c>
      <c r="X174" t="s">
        <v>66</v>
      </c>
      <c r="Y174">
        <v>7</v>
      </c>
      <c r="Z174">
        <v>21</v>
      </c>
      <c r="AA174">
        <v>5</v>
      </c>
      <c r="AB174" t="s">
        <v>67</v>
      </c>
      <c r="AC174" t="s">
        <v>36</v>
      </c>
      <c r="AD174">
        <v>2025</v>
      </c>
    </row>
    <row r="175" spans="1:30" x14ac:dyDescent="0.45">
      <c r="A175" t="s">
        <v>436</v>
      </c>
      <c r="B175" t="s">
        <v>437</v>
      </c>
      <c r="C175" t="str">
        <f>_xlfn.XLOOKUP(Sales_Data[[#This Row],[Product_ID]],Product_Master[Product_ID],Product_Master[Product],"Not Found")</f>
        <v>Aluminium Windows</v>
      </c>
      <c r="D175" s="3">
        <v>46021</v>
      </c>
      <c r="E175" t="s">
        <v>59</v>
      </c>
      <c r="F175" t="s">
        <v>39</v>
      </c>
      <c r="G175" t="s">
        <v>50</v>
      </c>
      <c r="H175" t="s">
        <v>71</v>
      </c>
      <c r="I175" t="s">
        <v>52</v>
      </c>
      <c r="J175" t="s">
        <v>53</v>
      </c>
      <c r="K175" t="s">
        <v>31</v>
      </c>
      <c r="L175">
        <v>5</v>
      </c>
      <c r="M175">
        <v>20076</v>
      </c>
      <c r="N175">
        <v>0</v>
      </c>
      <c r="O175">
        <v>100380</v>
      </c>
      <c r="P175">
        <v>0</v>
      </c>
      <c r="Q175">
        <v>100380</v>
      </c>
      <c r="R175">
        <f>YEAR(Sales_Data[[#This Row],[Order_Date]])</f>
        <v>2025</v>
      </c>
      <c r="S175" t="str">
        <f>TEXT(Sales_Data[[#This Row],[Order_Date]],"mmmm")</f>
        <v>December</v>
      </c>
      <c r="T175">
        <f t="shared" si="2"/>
        <v>12</v>
      </c>
      <c r="U175" t="str">
        <f>"Q"&amp;ROUNDUP(MONTH(Sales_Data[[#This Row],[Order_Date]])/3,0)</f>
        <v>Q4</v>
      </c>
      <c r="V175" t="s">
        <v>98</v>
      </c>
      <c r="W175" t="s">
        <v>33</v>
      </c>
      <c r="X175" t="s">
        <v>45</v>
      </c>
      <c r="Y175">
        <v>2</v>
      </c>
      <c r="Z175">
        <v>20</v>
      </c>
      <c r="AA175">
        <v>3</v>
      </c>
      <c r="AB175" t="s">
        <v>113</v>
      </c>
      <c r="AC175" t="s">
        <v>36</v>
      </c>
      <c r="AD175">
        <v>2025</v>
      </c>
    </row>
    <row r="176" spans="1:30" x14ac:dyDescent="0.45">
      <c r="A176" t="s">
        <v>438</v>
      </c>
      <c r="B176" t="s">
        <v>439</v>
      </c>
      <c r="C176" t="str">
        <f>_xlfn.XLOOKUP(Sales_Data[[#This Row],[Product_ID]],Product_Master[Product_ID],Product_Master[Product],"Not Found")</f>
        <v>uPVC Windows</v>
      </c>
      <c r="D176" s="3">
        <v>45884</v>
      </c>
      <c r="E176" t="s">
        <v>59</v>
      </c>
      <c r="F176" t="s">
        <v>26</v>
      </c>
      <c r="G176" t="s">
        <v>139</v>
      </c>
      <c r="H176" t="s">
        <v>119</v>
      </c>
      <c r="I176" t="s">
        <v>62</v>
      </c>
      <c r="J176" t="s">
        <v>63</v>
      </c>
      <c r="K176" t="s">
        <v>31</v>
      </c>
      <c r="L176">
        <v>3</v>
      </c>
      <c r="M176">
        <v>17752</v>
      </c>
      <c r="N176">
        <v>0</v>
      </c>
      <c r="O176">
        <v>53256</v>
      </c>
      <c r="P176">
        <v>0</v>
      </c>
      <c r="Q176">
        <v>53256</v>
      </c>
      <c r="R176">
        <f>YEAR(Sales_Data[[#This Row],[Order_Date]])</f>
        <v>2025</v>
      </c>
      <c r="S176" t="str">
        <f>TEXT(Sales_Data[[#This Row],[Order_Date]],"mmmm")</f>
        <v>August</v>
      </c>
      <c r="T176">
        <f t="shared" si="2"/>
        <v>8</v>
      </c>
      <c r="U176" t="str">
        <f>"Q"&amp;ROUNDUP(MONTH(Sales_Data[[#This Row],[Order_Date]])/3,0)</f>
        <v>Q3</v>
      </c>
      <c r="V176" t="s">
        <v>44</v>
      </c>
      <c r="W176" t="s">
        <v>33</v>
      </c>
      <c r="X176" t="s">
        <v>34</v>
      </c>
      <c r="Y176">
        <v>6</v>
      </c>
      <c r="Z176">
        <v>6</v>
      </c>
      <c r="AA176">
        <v>5</v>
      </c>
      <c r="AB176" t="s">
        <v>123</v>
      </c>
      <c r="AC176" t="s">
        <v>90</v>
      </c>
      <c r="AD176">
        <v>2025</v>
      </c>
    </row>
    <row r="177" spans="1:30" x14ac:dyDescent="0.45">
      <c r="A177" t="s">
        <v>440</v>
      </c>
      <c r="B177" t="s">
        <v>441</v>
      </c>
      <c r="C177" t="str">
        <f>_xlfn.XLOOKUP(Sales_Data[[#This Row],[Product_ID]],Product_Master[Product_ID],Product_Master[Product],"Not Found")</f>
        <v>Casement Windows</v>
      </c>
      <c r="D177" s="3">
        <v>45901</v>
      </c>
      <c r="E177" t="s">
        <v>25</v>
      </c>
      <c r="F177" t="s">
        <v>26</v>
      </c>
      <c r="G177" t="s">
        <v>82</v>
      </c>
      <c r="H177" t="s">
        <v>83</v>
      </c>
      <c r="I177" t="s">
        <v>75</v>
      </c>
      <c r="J177" t="s">
        <v>76</v>
      </c>
      <c r="K177" t="s">
        <v>31</v>
      </c>
      <c r="L177">
        <v>4</v>
      </c>
      <c r="M177">
        <v>25677</v>
      </c>
      <c r="N177">
        <v>0.15</v>
      </c>
      <c r="O177">
        <v>102708</v>
      </c>
      <c r="P177">
        <v>15406.2</v>
      </c>
      <c r="Q177">
        <v>87301.8</v>
      </c>
      <c r="R177">
        <f>YEAR(Sales_Data[[#This Row],[Order_Date]])</f>
        <v>2025</v>
      </c>
      <c r="S177" t="str">
        <f>TEXT(Sales_Data[[#This Row],[Order_Date]],"mmmm")</f>
        <v>September</v>
      </c>
      <c r="T177">
        <f t="shared" si="2"/>
        <v>9</v>
      </c>
      <c r="U177" t="str">
        <f>"Q"&amp;ROUNDUP(MONTH(Sales_Data[[#This Row],[Order_Date]])/3,0)</f>
        <v>Q3</v>
      </c>
      <c r="V177" t="s">
        <v>64</v>
      </c>
      <c r="W177" t="s">
        <v>33</v>
      </c>
      <c r="X177" t="s">
        <v>45</v>
      </c>
      <c r="Y177">
        <v>4</v>
      </c>
      <c r="Z177">
        <v>18</v>
      </c>
      <c r="AA177">
        <v>5</v>
      </c>
      <c r="AB177" t="s">
        <v>89</v>
      </c>
      <c r="AC177" t="s">
        <v>90</v>
      </c>
      <c r="AD177">
        <v>2025</v>
      </c>
    </row>
    <row r="178" spans="1:30" x14ac:dyDescent="0.45">
      <c r="A178" t="s">
        <v>442</v>
      </c>
      <c r="B178" t="s">
        <v>443</v>
      </c>
      <c r="C178" t="str">
        <f>_xlfn.XLOOKUP(Sales_Data[[#This Row],[Product_ID]],Product_Master[Product_ID],Product_Master[Product],"Not Found")</f>
        <v>French Doors</v>
      </c>
      <c r="D178" s="3">
        <v>46012</v>
      </c>
      <c r="E178" t="s">
        <v>59</v>
      </c>
      <c r="F178" t="s">
        <v>26</v>
      </c>
      <c r="G178" t="s">
        <v>111</v>
      </c>
      <c r="H178" t="s">
        <v>71</v>
      </c>
      <c r="I178" t="s">
        <v>84</v>
      </c>
      <c r="J178" t="s">
        <v>85</v>
      </c>
      <c r="K178" t="s">
        <v>43</v>
      </c>
      <c r="L178">
        <v>6</v>
      </c>
      <c r="M178">
        <v>38628</v>
      </c>
      <c r="N178">
        <v>0.05</v>
      </c>
      <c r="O178">
        <v>231768</v>
      </c>
      <c r="P178">
        <v>11588.4</v>
      </c>
      <c r="Q178">
        <v>220179.6</v>
      </c>
      <c r="R178">
        <f>YEAR(Sales_Data[[#This Row],[Order_Date]])</f>
        <v>2025</v>
      </c>
      <c r="S178" t="str">
        <f>TEXT(Sales_Data[[#This Row],[Order_Date]],"mmmm")</f>
        <v>December</v>
      </c>
      <c r="T178">
        <f t="shared" si="2"/>
        <v>12</v>
      </c>
      <c r="U178" t="str">
        <f>"Q"&amp;ROUNDUP(MONTH(Sales_Data[[#This Row],[Order_Date]])/3,0)</f>
        <v>Q4</v>
      </c>
      <c r="V178" t="s">
        <v>122</v>
      </c>
      <c r="W178" t="s">
        <v>33</v>
      </c>
      <c r="X178" t="s">
        <v>45</v>
      </c>
      <c r="Y178">
        <v>4</v>
      </c>
      <c r="Z178">
        <v>10</v>
      </c>
      <c r="AA178">
        <v>2</v>
      </c>
      <c r="AB178" t="s">
        <v>113</v>
      </c>
      <c r="AC178" t="s">
        <v>36</v>
      </c>
      <c r="AD178">
        <v>2025</v>
      </c>
    </row>
    <row r="179" spans="1:30" x14ac:dyDescent="0.45">
      <c r="A179" t="s">
        <v>444</v>
      </c>
      <c r="B179" t="s">
        <v>445</v>
      </c>
      <c r="C179" t="str">
        <f>_xlfn.XLOOKUP(Sales_Data[[#This Row],[Product_ID]],Product_Master[Product_ID],Product_Master[Product],"Not Found")</f>
        <v>uPVC Windows</v>
      </c>
      <c r="D179" s="3">
        <v>45841</v>
      </c>
      <c r="E179" t="s">
        <v>59</v>
      </c>
      <c r="F179" t="s">
        <v>39</v>
      </c>
      <c r="G179" t="s">
        <v>139</v>
      </c>
      <c r="H179" t="s">
        <v>51</v>
      </c>
      <c r="I179" t="s">
        <v>62</v>
      </c>
      <c r="J179" t="s">
        <v>63</v>
      </c>
      <c r="K179" t="s">
        <v>31</v>
      </c>
      <c r="L179">
        <v>4</v>
      </c>
      <c r="M179">
        <v>17428</v>
      </c>
      <c r="N179">
        <v>0.05</v>
      </c>
      <c r="O179">
        <v>69712</v>
      </c>
      <c r="P179">
        <v>3485.6</v>
      </c>
      <c r="Q179">
        <v>66226.399999999994</v>
      </c>
      <c r="R179">
        <f>YEAR(Sales_Data[[#This Row],[Order_Date]])</f>
        <v>2025</v>
      </c>
      <c r="S179" t="str">
        <f>TEXT(Sales_Data[[#This Row],[Order_Date]],"mmmm")</f>
        <v>July</v>
      </c>
      <c r="T179">
        <f t="shared" si="2"/>
        <v>7</v>
      </c>
      <c r="U179" t="str">
        <f>"Q"&amp;ROUNDUP(MONTH(Sales_Data[[#This Row],[Order_Date]])/3,0)</f>
        <v>Q3</v>
      </c>
      <c r="V179" t="s">
        <v>32</v>
      </c>
      <c r="W179" t="s">
        <v>33</v>
      </c>
      <c r="X179" t="s">
        <v>45</v>
      </c>
      <c r="Y179">
        <v>1</v>
      </c>
      <c r="Z179">
        <v>30</v>
      </c>
      <c r="AA179">
        <v>5</v>
      </c>
      <c r="AB179" t="s">
        <v>155</v>
      </c>
      <c r="AC179" t="s">
        <v>90</v>
      </c>
      <c r="AD179">
        <v>2025</v>
      </c>
    </row>
    <row r="180" spans="1:30" x14ac:dyDescent="0.45">
      <c r="A180" t="s">
        <v>446</v>
      </c>
      <c r="B180" t="s">
        <v>447</v>
      </c>
      <c r="C180" t="str">
        <f>_xlfn.XLOOKUP(Sales_Data[[#This Row],[Product_ID]],Product_Master[Product_ID],Product_Master[Product],"Not Found")</f>
        <v>Bi-Fold Doors</v>
      </c>
      <c r="D180" s="3">
        <v>45951</v>
      </c>
      <c r="E180" t="s">
        <v>25</v>
      </c>
      <c r="F180" t="s">
        <v>70</v>
      </c>
      <c r="G180" t="s">
        <v>27</v>
      </c>
      <c r="H180" t="s">
        <v>71</v>
      </c>
      <c r="I180" t="s">
        <v>41</v>
      </c>
      <c r="J180" t="s">
        <v>42</v>
      </c>
      <c r="K180" t="s">
        <v>43</v>
      </c>
      <c r="L180">
        <v>5</v>
      </c>
      <c r="M180">
        <v>56276</v>
      </c>
      <c r="N180">
        <v>0.05</v>
      </c>
      <c r="O180">
        <v>281380</v>
      </c>
      <c r="P180">
        <v>14069</v>
      </c>
      <c r="Q180">
        <v>267311</v>
      </c>
      <c r="R180">
        <f>YEAR(Sales_Data[[#This Row],[Order_Date]])</f>
        <v>2025</v>
      </c>
      <c r="S180" t="str">
        <f>TEXT(Sales_Data[[#This Row],[Order_Date]],"mmmm")</f>
        <v>October</v>
      </c>
      <c r="T180">
        <f t="shared" si="2"/>
        <v>10</v>
      </c>
      <c r="U180" t="str">
        <f>"Q"&amp;ROUNDUP(MONTH(Sales_Data[[#This Row],[Order_Date]])/3,0)</f>
        <v>Q4</v>
      </c>
      <c r="V180" t="s">
        <v>32</v>
      </c>
      <c r="W180" t="s">
        <v>33</v>
      </c>
      <c r="X180" t="s">
        <v>45</v>
      </c>
      <c r="Y180">
        <v>1</v>
      </c>
      <c r="Z180">
        <v>15</v>
      </c>
      <c r="AA180">
        <v>4</v>
      </c>
      <c r="AB180" t="s">
        <v>35</v>
      </c>
      <c r="AC180" t="s">
        <v>36</v>
      </c>
      <c r="AD180">
        <v>2025</v>
      </c>
    </row>
    <row r="181" spans="1:30" x14ac:dyDescent="0.45">
      <c r="A181" t="s">
        <v>448</v>
      </c>
      <c r="B181" t="s">
        <v>449</v>
      </c>
      <c r="C181" t="str">
        <f>_xlfn.XLOOKUP(Sales_Data[[#This Row],[Product_ID]],Product_Master[Product_ID],Product_Master[Product],"Not Found")</f>
        <v>uPVC Doors</v>
      </c>
      <c r="D181" s="3">
        <v>45748</v>
      </c>
      <c r="E181" t="s">
        <v>25</v>
      </c>
      <c r="F181" t="s">
        <v>70</v>
      </c>
      <c r="G181" t="s">
        <v>61</v>
      </c>
      <c r="H181" t="s">
        <v>119</v>
      </c>
      <c r="I181" t="s">
        <v>107</v>
      </c>
      <c r="J181" t="s">
        <v>108</v>
      </c>
      <c r="K181" t="s">
        <v>43</v>
      </c>
      <c r="L181">
        <v>2</v>
      </c>
      <c r="M181">
        <v>27793</v>
      </c>
      <c r="N181">
        <v>0.15</v>
      </c>
      <c r="O181">
        <v>55586</v>
      </c>
      <c r="P181">
        <v>8337.9</v>
      </c>
      <c r="Q181">
        <v>47248.1</v>
      </c>
      <c r="R181">
        <f>YEAR(Sales_Data[[#This Row],[Order_Date]])</f>
        <v>2025</v>
      </c>
      <c r="S181" t="str">
        <f>TEXT(Sales_Data[[#This Row],[Order_Date]],"mmmm")</f>
        <v>April</v>
      </c>
      <c r="T181">
        <f t="shared" si="2"/>
        <v>4</v>
      </c>
      <c r="U181" t="str">
        <f>"Q"&amp;ROUNDUP(MONTH(Sales_Data[[#This Row],[Order_Date]])/3,0)</f>
        <v>Q2</v>
      </c>
      <c r="V181" t="s">
        <v>32</v>
      </c>
      <c r="W181" t="s">
        <v>33</v>
      </c>
      <c r="X181" t="s">
        <v>93</v>
      </c>
      <c r="Y181">
        <v>7</v>
      </c>
      <c r="Z181">
        <v>15</v>
      </c>
      <c r="AA181">
        <v>5</v>
      </c>
      <c r="AB181" t="s">
        <v>77</v>
      </c>
      <c r="AC181" t="s">
        <v>47</v>
      </c>
      <c r="AD181">
        <v>2025</v>
      </c>
    </row>
    <row r="182" spans="1:30" x14ac:dyDescent="0.45">
      <c r="A182" t="s">
        <v>450</v>
      </c>
      <c r="B182" t="s">
        <v>451</v>
      </c>
      <c r="C182" t="str">
        <f>_xlfn.XLOOKUP(Sales_Data[[#This Row],[Product_ID]],Product_Master[Product_ID],Product_Master[Product],"Not Found")</f>
        <v>Casement Windows</v>
      </c>
      <c r="D182" s="3">
        <v>45894</v>
      </c>
      <c r="E182" t="s">
        <v>59</v>
      </c>
      <c r="F182" t="s">
        <v>60</v>
      </c>
      <c r="G182" t="s">
        <v>82</v>
      </c>
      <c r="H182" t="s">
        <v>28</v>
      </c>
      <c r="I182" t="s">
        <v>75</v>
      </c>
      <c r="J182" t="s">
        <v>76</v>
      </c>
      <c r="K182" t="s">
        <v>31</v>
      </c>
      <c r="L182">
        <v>5</v>
      </c>
      <c r="M182">
        <v>26415</v>
      </c>
      <c r="N182">
        <v>0</v>
      </c>
      <c r="O182">
        <v>132075</v>
      </c>
      <c r="P182">
        <v>0</v>
      </c>
      <c r="Q182">
        <v>132075</v>
      </c>
      <c r="R182">
        <f>YEAR(Sales_Data[[#This Row],[Order_Date]])</f>
        <v>2025</v>
      </c>
      <c r="S182" t="str">
        <f>TEXT(Sales_Data[[#This Row],[Order_Date]],"mmmm")</f>
        <v>August</v>
      </c>
      <c r="T182">
        <f t="shared" si="2"/>
        <v>8</v>
      </c>
      <c r="U182" t="str">
        <f>"Q"&amp;ROUNDUP(MONTH(Sales_Data[[#This Row],[Order_Date]])/3,0)</f>
        <v>Q3</v>
      </c>
      <c r="V182" t="s">
        <v>32</v>
      </c>
      <c r="W182" t="s">
        <v>33</v>
      </c>
      <c r="X182" t="s">
        <v>66</v>
      </c>
      <c r="Y182">
        <v>4</v>
      </c>
      <c r="Z182">
        <v>23</v>
      </c>
      <c r="AA182">
        <v>5</v>
      </c>
      <c r="AB182" t="s">
        <v>123</v>
      </c>
      <c r="AC182" t="s">
        <v>90</v>
      </c>
      <c r="AD182">
        <v>2025</v>
      </c>
    </row>
    <row r="183" spans="1:30" x14ac:dyDescent="0.45">
      <c r="A183" t="s">
        <v>452</v>
      </c>
      <c r="B183" t="s">
        <v>453</v>
      </c>
      <c r="C183" t="str">
        <f>_xlfn.XLOOKUP(Sales_Data[[#This Row],[Product_ID]],Product_Master[Product_ID],Product_Master[Product],"Not Found")</f>
        <v>French Doors</v>
      </c>
      <c r="D183" s="3">
        <v>45765</v>
      </c>
      <c r="E183" t="s">
        <v>25</v>
      </c>
      <c r="F183" t="s">
        <v>70</v>
      </c>
      <c r="G183" t="s">
        <v>61</v>
      </c>
      <c r="H183" t="s">
        <v>28</v>
      </c>
      <c r="I183" t="s">
        <v>84</v>
      </c>
      <c r="J183" t="s">
        <v>85</v>
      </c>
      <c r="K183" t="s">
        <v>43</v>
      </c>
      <c r="L183">
        <v>4</v>
      </c>
      <c r="M183">
        <v>46967</v>
      </c>
      <c r="N183">
        <v>0.15</v>
      </c>
      <c r="O183">
        <v>187868</v>
      </c>
      <c r="P183">
        <v>28180.2</v>
      </c>
      <c r="Q183">
        <v>159687.79999999999</v>
      </c>
      <c r="R183">
        <f>YEAR(Sales_Data[[#This Row],[Order_Date]])</f>
        <v>2025</v>
      </c>
      <c r="S183" t="str">
        <f>TEXT(Sales_Data[[#This Row],[Order_Date]],"mmmm")</f>
        <v>April</v>
      </c>
      <c r="T183">
        <f t="shared" si="2"/>
        <v>4</v>
      </c>
      <c r="U183" t="str">
        <f>"Q"&amp;ROUNDUP(MONTH(Sales_Data[[#This Row],[Order_Date]])/3,0)</f>
        <v>Q2</v>
      </c>
      <c r="V183" t="s">
        <v>32</v>
      </c>
      <c r="W183" t="s">
        <v>33</v>
      </c>
      <c r="X183" t="s">
        <v>66</v>
      </c>
      <c r="Y183">
        <v>7</v>
      </c>
      <c r="Z183">
        <v>30</v>
      </c>
      <c r="AA183">
        <v>4</v>
      </c>
      <c r="AB183" t="s">
        <v>77</v>
      </c>
      <c r="AC183" t="s">
        <v>47</v>
      </c>
      <c r="AD183">
        <v>2025</v>
      </c>
    </row>
    <row r="184" spans="1:30" x14ac:dyDescent="0.45">
      <c r="A184" t="s">
        <v>454</v>
      </c>
      <c r="B184" t="s">
        <v>455</v>
      </c>
      <c r="C184" t="str">
        <f>_xlfn.XLOOKUP(Sales_Data[[#This Row],[Product_ID]],Product_Master[Product_ID],Product_Master[Product],"Not Found")</f>
        <v>Bi-Fold Doors</v>
      </c>
      <c r="D184" s="3">
        <v>45823</v>
      </c>
      <c r="E184" t="s">
        <v>59</v>
      </c>
      <c r="F184" t="s">
        <v>39</v>
      </c>
      <c r="G184" t="s">
        <v>116</v>
      </c>
      <c r="H184" t="s">
        <v>112</v>
      </c>
      <c r="I184" t="s">
        <v>41</v>
      </c>
      <c r="J184" t="s">
        <v>42</v>
      </c>
      <c r="K184" t="s">
        <v>43</v>
      </c>
      <c r="L184">
        <v>3</v>
      </c>
      <c r="M184">
        <v>54323</v>
      </c>
      <c r="N184">
        <v>0.05</v>
      </c>
      <c r="O184">
        <v>162969</v>
      </c>
      <c r="P184">
        <v>8148.45</v>
      </c>
      <c r="Q184">
        <v>154820.54999999999</v>
      </c>
      <c r="R184">
        <f>YEAR(Sales_Data[[#This Row],[Order_Date]])</f>
        <v>2025</v>
      </c>
      <c r="S184" t="str">
        <f>TEXT(Sales_Data[[#This Row],[Order_Date]],"mmmm")</f>
        <v>June</v>
      </c>
      <c r="T184">
        <f t="shared" si="2"/>
        <v>6</v>
      </c>
      <c r="U184" t="str">
        <f>"Q"&amp;ROUNDUP(MONTH(Sales_Data[[#This Row],[Order_Date]])/3,0)</f>
        <v>Q2</v>
      </c>
      <c r="V184" t="s">
        <v>32</v>
      </c>
      <c r="W184" t="s">
        <v>33</v>
      </c>
      <c r="X184" t="s">
        <v>45</v>
      </c>
      <c r="Y184">
        <v>6</v>
      </c>
      <c r="Z184">
        <v>17</v>
      </c>
      <c r="AA184">
        <v>5</v>
      </c>
      <c r="AB184" t="s">
        <v>46</v>
      </c>
      <c r="AC184" t="s">
        <v>47</v>
      </c>
      <c r="AD184">
        <v>2025</v>
      </c>
    </row>
    <row r="185" spans="1:30" x14ac:dyDescent="0.45">
      <c r="A185" t="s">
        <v>456</v>
      </c>
      <c r="B185" t="s">
        <v>457</v>
      </c>
      <c r="C185" t="str">
        <f>_xlfn.XLOOKUP(Sales_Data[[#This Row],[Product_ID]],Product_Master[Product_ID],Product_Master[Product],"Not Found")</f>
        <v>Bi-Fold Doors</v>
      </c>
      <c r="D185" s="3">
        <v>45671</v>
      </c>
      <c r="E185" t="s">
        <v>59</v>
      </c>
      <c r="F185" t="s">
        <v>39</v>
      </c>
      <c r="G185" t="s">
        <v>139</v>
      </c>
      <c r="H185" t="s">
        <v>28</v>
      </c>
      <c r="I185" t="s">
        <v>41</v>
      </c>
      <c r="J185" t="s">
        <v>42</v>
      </c>
      <c r="K185" t="s">
        <v>43</v>
      </c>
      <c r="L185">
        <v>5</v>
      </c>
      <c r="M185">
        <v>57426</v>
      </c>
      <c r="N185">
        <v>0.15</v>
      </c>
      <c r="O185">
        <v>287130</v>
      </c>
      <c r="P185">
        <v>43069.5</v>
      </c>
      <c r="Q185">
        <v>244060.5</v>
      </c>
      <c r="R185">
        <f>YEAR(Sales_Data[[#This Row],[Order_Date]])</f>
        <v>2025</v>
      </c>
      <c r="S185" t="str">
        <f>TEXT(Sales_Data[[#This Row],[Order_Date]],"mmmm")</f>
        <v>January</v>
      </c>
      <c r="T185">
        <f t="shared" si="2"/>
        <v>1</v>
      </c>
      <c r="U185" t="str">
        <f>"Q"&amp;ROUNDUP(MONTH(Sales_Data[[#This Row],[Order_Date]])/3,0)</f>
        <v>Q1</v>
      </c>
      <c r="V185" t="s">
        <v>32</v>
      </c>
      <c r="W185" t="s">
        <v>33</v>
      </c>
      <c r="X185" t="s">
        <v>34</v>
      </c>
      <c r="Y185">
        <v>2</v>
      </c>
      <c r="Z185">
        <v>21</v>
      </c>
      <c r="AA185">
        <v>4</v>
      </c>
      <c r="AB185" t="s">
        <v>144</v>
      </c>
      <c r="AC185" t="s">
        <v>56</v>
      </c>
      <c r="AD185">
        <v>2025</v>
      </c>
    </row>
    <row r="186" spans="1:30" x14ac:dyDescent="0.45">
      <c r="A186" t="s">
        <v>458</v>
      </c>
      <c r="B186" t="s">
        <v>459</v>
      </c>
      <c r="C186" t="str">
        <f>_xlfn.XLOOKUP(Sales_Data[[#This Row],[Product_ID]],Product_Master[Product_ID],Product_Master[Product],"Not Found")</f>
        <v>Bi-Fold Doors</v>
      </c>
      <c r="D186" s="3">
        <v>46003</v>
      </c>
      <c r="E186" t="s">
        <v>59</v>
      </c>
      <c r="F186" t="s">
        <v>60</v>
      </c>
      <c r="G186" t="s">
        <v>61</v>
      </c>
      <c r="H186" t="s">
        <v>88</v>
      </c>
      <c r="I186" t="s">
        <v>41</v>
      </c>
      <c r="J186" t="s">
        <v>42</v>
      </c>
      <c r="K186" t="s">
        <v>43</v>
      </c>
      <c r="L186">
        <v>4</v>
      </c>
      <c r="M186">
        <v>56626</v>
      </c>
      <c r="N186">
        <v>0.1</v>
      </c>
      <c r="O186">
        <v>226504</v>
      </c>
      <c r="P186">
        <v>22650.400000000001</v>
      </c>
      <c r="Q186">
        <v>203853.6</v>
      </c>
      <c r="R186">
        <f>YEAR(Sales_Data[[#This Row],[Order_Date]])</f>
        <v>2025</v>
      </c>
      <c r="S186" t="str">
        <f>TEXT(Sales_Data[[#This Row],[Order_Date]],"mmmm")</f>
        <v>December</v>
      </c>
      <c r="T186">
        <f t="shared" si="2"/>
        <v>12</v>
      </c>
      <c r="U186" t="str">
        <f>"Q"&amp;ROUNDUP(MONTH(Sales_Data[[#This Row],[Order_Date]])/3,0)</f>
        <v>Q4</v>
      </c>
      <c r="V186" t="s">
        <v>64</v>
      </c>
      <c r="W186" t="s">
        <v>54</v>
      </c>
      <c r="X186" t="s">
        <v>45</v>
      </c>
      <c r="Y186">
        <v>7</v>
      </c>
      <c r="Z186">
        <v>28</v>
      </c>
      <c r="AA186">
        <v>4</v>
      </c>
      <c r="AB186" t="s">
        <v>113</v>
      </c>
      <c r="AC186" t="s">
        <v>36</v>
      </c>
      <c r="AD186">
        <v>2025</v>
      </c>
    </row>
    <row r="187" spans="1:30" x14ac:dyDescent="0.45">
      <c r="A187" t="s">
        <v>460</v>
      </c>
      <c r="B187" t="s">
        <v>461</v>
      </c>
      <c r="C187" t="str">
        <f>_xlfn.XLOOKUP(Sales_Data[[#This Row],[Product_ID]],Product_Master[Product_ID],Product_Master[Product],"Not Found")</f>
        <v>uPVC Doors</v>
      </c>
      <c r="D187" s="3">
        <v>45782</v>
      </c>
      <c r="E187" t="s">
        <v>25</v>
      </c>
      <c r="F187" t="s">
        <v>26</v>
      </c>
      <c r="G187" t="s">
        <v>111</v>
      </c>
      <c r="H187" t="s">
        <v>28</v>
      </c>
      <c r="I187" t="s">
        <v>107</v>
      </c>
      <c r="J187" t="s">
        <v>108</v>
      </c>
      <c r="K187" t="s">
        <v>43</v>
      </c>
      <c r="L187">
        <v>1</v>
      </c>
      <c r="M187">
        <v>29142</v>
      </c>
      <c r="N187">
        <v>0</v>
      </c>
      <c r="O187">
        <v>29142</v>
      </c>
      <c r="P187">
        <v>0</v>
      </c>
      <c r="Q187">
        <v>29142</v>
      </c>
      <c r="R187">
        <f>YEAR(Sales_Data[[#This Row],[Order_Date]])</f>
        <v>2025</v>
      </c>
      <c r="S187" t="str">
        <f>TEXT(Sales_Data[[#This Row],[Order_Date]],"mmmm")</f>
        <v>May</v>
      </c>
      <c r="T187">
        <f t="shared" si="2"/>
        <v>5</v>
      </c>
      <c r="U187" t="str">
        <f>"Q"&amp;ROUNDUP(MONTH(Sales_Data[[#This Row],[Order_Date]])/3,0)</f>
        <v>Q2</v>
      </c>
      <c r="V187" t="s">
        <v>64</v>
      </c>
      <c r="W187" t="s">
        <v>33</v>
      </c>
      <c r="X187" t="s">
        <v>45</v>
      </c>
      <c r="Y187">
        <v>6</v>
      </c>
      <c r="Z187">
        <v>17</v>
      </c>
      <c r="AA187">
        <v>5</v>
      </c>
      <c r="AB187" t="s">
        <v>72</v>
      </c>
      <c r="AC187" t="s">
        <v>47</v>
      </c>
      <c r="AD187">
        <v>2025</v>
      </c>
    </row>
    <row r="188" spans="1:30" x14ac:dyDescent="0.45">
      <c r="A188" t="s">
        <v>462</v>
      </c>
      <c r="B188" t="s">
        <v>463</v>
      </c>
      <c r="C188" t="str">
        <f>_xlfn.XLOOKUP(Sales_Data[[#This Row],[Product_ID]],Product_Master[Product_ID],Product_Master[Product],"Not Found")</f>
        <v>Bi-Fold Doors</v>
      </c>
      <c r="D188" s="3">
        <v>45779</v>
      </c>
      <c r="E188" t="s">
        <v>59</v>
      </c>
      <c r="F188" t="s">
        <v>60</v>
      </c>
      <c r="G188" t="s">
        <v>61</v>
      </c>
      <c r="H188" t="s">
        <v>51</v>
      </c>
      <c r="I188" t="s">
        <v>41</v>
      </c>
      <c r="J188" t="s">
        <v>42</v>
      </c>
      <c r="K188" t="s">
        <v>43</v>
      </c>
      <c r="L188">
        <v>5</v>
      </c>
      <c r="M188">
        <v>55430</v>
      </c>
      <c r="N188">
        <v>0.05</v>
      </c>
      <c r="O188">
        <v>277150</v>
      </c>
      <c r="P188">
        <v>13857.5</v>
      </c>
      <c r="Q188">
        <v>263292.5</v>
      </c>
      <c r="R188">
        <f>YEAR(Sales_Data[[#This Row],[Order_Date]])</f>
        <v>2025</v>
      </c>
      <c r="S188" t="str">
        <f>TEXT(Sales_Data[[#This Row],[Order_Date]],"mmmm")</f>
        <v>May</v>
      </c>
      <c r="T188">
        <f t="shared" si="2"/>
        <v>5</v>
      </c>
      <c r="U188" t="str">
        <f>"Q"&amp;ROUNDUP(MONTH(Sales_Data[[#This Row],[Order_Date]])/3,0)</f>
        <v>Q2</v>
      </c>
      <c r="V188" t="s">
        <v>98</v>
      </c>
      <c r="W188" t="s">
        <v>33</v>
      </c>
      <c r="X188" t="s">
        <v>45</v>
      </c>
      <c r="Y188">
        <v>5</v>
      </c>
      <c r="Z188">
        <v>14</v>
      </c>
      <c r="AA188">
        <v>4</v>
      </c>
      <c r="AB188" t="s">
        <v>72</v>
      </c>
      <c r="AC188" t="s">
        <v>47</v>
      </c>
      <c r="AD188">
        <v>2025</v>
      </c>
    </row>
    <row r="189" spans="1:30" x14ac:dyDescent="0.45">
      <c r="A189" t="s">
        <v>464</v>
      </c>
      <c r="B189" t="s">
        <v>465</v>
      </c>
      <c r="C189" t="str">
        <f>_xlfn.XLOOKUP(Sales_Data[[#This Row],[Product_ID]],Product_Master[Product_ID],Product_Master[Product],"Not Found")</f>
        <v>Soundproof Windows</v>
      </c>
      <c r="D189" s="3">
        <v>45980</v>
      </c>
      <c r="E189" t="s">
        <v>25</v>
      </c>
      <c r="F189" t="s">
        <v>70</v>
      </c>
      <c r="G189" t="s">
        <v>50</v>
      </c>
      <c r="H189" t="s">
        <v>71</v>
      </c>
      <c r="I189" t="s">
        <v>29</v>
      </c>
      <c r="J189" t="s">
        <v>30</v>
      </c>
      <c r="K189" t="s">
        <v>31</v>
      </c>
      <c r="L189">
        <v>2</v>
      </c>
      <c r="M189">
        <v>43276</v>
      </c>
      <c r="N189">
        <v>0.2</v>
      </c>
      <c r="O189">
        <v>86552</v>
      </c>
      <c r="P189">
        <v>17310.400000000001</v>
      </c>
      <c r="Q189">
        <v>69241.600000000006</v>
      </c>
      <c r="R189">
        <f>YEAR(Sales_Data[[#This Row],[Order_Date]])</f>
        <v>2025</v>
      </c>
      <c r="S189" t="str">
        <f>TEXT(Sales_Data[[#This Row],[Order_Date]],"mmmm")</f>
        <v>November</v>
      </c>
      <c r="T189">
        <f t="shared" si="2"/>
        <v>11</v>
      </c>
      <c r="U189" t="str">
        <f>"Q"&amp;ROUNDUP(MONTH(Sales_Data[[#This Row],[Order_Date]])/3,0)</f>
        <v>Q4</v>
      </c>
      <c r="V189" t="s">
        <v>64</v>
      </c>
      <c r="W189" t="s">
        <v>33</v>
      </c>
      <c r="X189" t="s">
        <v>34</v>
      </c>
      <c r="Y189">
        <v>6</v>
      </c>
      <c r="Z189">
        <v>7</v>
      </c>
      <c r="AA189">
        <v>5</v>
      </c>
      <c r="AB189" t="s">
        <v>67</v>
      </c>
      <c r="AC189" t="s">
        <v>36</v>
      </c>
      <c r="AD189">
        <v>2025</v>
      </c>
    </row>
    <row r="190" spans="1:30" x14ac:dyDescent="0.45">
      <c r="A190" t="s">
        <v>466</v>
      </c>
      <c r="B190" t="s">
        <v>467</v>
      </c>
      <c r="C190" t="str">
        <f>_xlfn.XLOOKUP(Sales_Data[[#This Row],[Product_ID]],Product_Master[Product_ID],Product_Master[Product],"Not Found")</f>
        <v>Casement Windows</v>
      </c>
      <c r="D190" s="3">
        <v>45832</v>
      </c>
      <c r="E190" t="s">
        <v>25</v>
      </c>
      <c r="F190" t="s">
        <v>39</v>
      </c>
      <c r="G190" t="s">
        <v>50</v>
      </c>
      <c r="H190" t="s">
        <v>51</v>
      </c>
      <c r="I190" t="s">
        <v>75</v>
      </c>
      <c r="J190" t="s">
        <v>76</v>
      </c>
      <c r="K190" t="s">
        <v>31</v>
      </c>
      <c r="L190">
        <v>5</v>
      </c>
      <c r="M190">
        <v>25396</v>
      </c>
      <c r="N190">
        <v>0.1</v>
      </c>
      <c r="O190">
        <v>126980</v>
      </c>
      <c r="P190">
        <v>12698</v>
      </c>
      <c r="Q190">
        <v>114282</v>
      </c>
      <c r="R190">
        <f>YEAR(Sales_Data[[#This Row],[Order_Date]])</f>
        <v>2025</v>
      </c>
      <c r="S190" t="str">
        <f>TEXT(Sales_Data[[#This Row],[Order_Date]],"mmmm")</f>
        <v>June</v>
      </c>
      <c r="T190">
        <f t="shared" si="2"/>
        <v>6</v>
      </c>
      <c r="U190" t="str">
        <f>"Q"&amp;ROUNDUP(MONTH(Sales_Data[[#This Row],[Order_Date]])/3,0)</f>
        <v>Q2</v>
      </c>
      <c r="V190" t="s">
        <v>32</v>
      </c>
      <c r="W190" t="s">
        <v>33</v>
      </c>
      <c r="X190" t="s">
        <v>66</v>
      </c>
      <c r="Y190">
        <v>6</v>
      </c>
      <c r="Z190">
        <v>14</v>
      </c>
      <c r="AA190">
        <v>2</v>
      </c>
      <c r="AB190" t="s">
        <v>46</v>
      </c>
      <c r="AC190" t="s">
        <v>47</v>
      </c>
      <c r="AD190">
        <v>2025</v>
      </c>
    </row>
    <row r="191" spans="1:30" x14ac:dyDescent="0.45">
      <c r="A191" t="s">
        <v>468</v>
      </c>
      <c r="B191" t="s">
        <v>469</v>
      </c>
      <c r="C191" t="str">
        <f>_xlfn.XLOOKUP(Sales_Data[[#This Row],[Product_ID]],Product_Master[Product_ID],Product_Master[Product],"Not Found")</f>
        <v>Aluminium Windows</v>
      </c>
      <c r="D191" s="3">
        <v>45751</v>
      </c>
      <c r="E191" t="s">
        <v>25</v>
      </c>
      <c r="F191" t="s">
        <v>26</v>
      </c>
      <c r="G191" t="s">
        <v>111</v>
      </c>
      <c r="H191" t="s">
        <v>119</v>
      </c>
      <c r="I191" t="s">
        <v>52</v>
      </c>
      <c r="J191" t="s">
        <v>53</v>
      </c>
      <c r="K191" t="s">
        <v>31</v>
      </c>
      <c r="L191">
        <v>1</v>
      </c>
      <c r="M191">
        <v>20088</v>
      </c>
      <c r="N191">
        <v>0</v>
      </c>
      <c r="O191">
        <v>20088</v>
      </c>
      <c r="P191">
        <v>0</v>
      </c>
      <c r="Q191">
        <v>20088</v>
      </c>
      <c r="R191">
        <f>YEAR(Sales_Data[[#This Row],[Order_Date]])</f>
        <v>2025</v>
      </c>
      <c r="S191" t="str">
        <f>TEXT(Sales_Data[[#This Row],[Order_Date]],"mmmm")</f>
        <v>April</v>
      </c>
      <c r="T191">
        <f t="shared" si="2"/>
        <v>4</v>
      </c>
      <c r="U191" t="str">
        <f>"Q"&amp;ROUNDUP(MONTH(Sales_Data[[#This Row],[Order_Date]])/3,0)</f>
        <v>Q2</v>
      </c>
      <c r="V191" t="s">
        <v>32</v>
      </c>
      <c r="W191" t="s">
        <v>54</v>
      </c>
      <c r="X191" t="s">
        <v>93</v>
      </c>
      <c r="Y191">
        <v>7</v>
      </c>
      <c r="Z191">
        <v>27</v>
      </c>
      <c r="AA191">
        <v>3</v>
      </c>
      <c r="AB191" t="s">
        <v>77</v>
      </c>
      <c r="AC191" t="s">
        <v>47</v>
      </c>
      <c r="AD191">
        <v>2025</v>
      </c>
    </row>
    <row r="192" spans="1:30" x14ac:dyDescent="0.45">
      <c r="A192" t="s">
        <v>470</v>
      </c>
      <c r="B192" t="s">
        <v>471</v>
      </c>
      <c r="C192" t="str">
        <f>_xlfn.XLOOKUP(Sales_Data[[#This Row],[Product_ID]],Product_Master[Product_ID],Product_Master[Product],"Not Found")</f>
        <v>uPVC Doors</v>
      </c>
      <c r="D192" s="3">
        <v>45896</v>
      </c>
      <c r="E192" t="s">
        <v>59</v>
      </c>
      <c r="F192" t="s">
        <v>60</v>
      </c>
      <c r="G192" t="s">
        <v>111</v>
      </c>
      <c r="H192" t="s">
        <v>51</v>
      </c>
      <c r="I192" t="s">
        <v>107</v>
      </c>
      <c r="J192" t="s">
        <v>108</v>
      </c>
      <c r="K192" t="s">
        <v>43</v>
      </c>
      <c r="L192">
        <v>2</v>
      </c>
      <c r="M192">
        <v>31412</v>
      </c>
      <c r="N192">
        <v>0.05</v>
      </c>
      <c r="O192">
        <v>62824</v>
      </c>
      <c r="P192">
        <v>3141.2</v>
      </c>
      <c r="Q192">
        <v>59682.8</v>
      </c>
      <c r="R192">
        <f>YEAR(Sales_Data[[#This Row],[Order_Date]])</f>
        <v>2025</v>
      </c>
      <c r="S192" t="str">
        <f>TEXT(Sales_Data[[#This Row],[Order_Date]],"mmmm")</f>
        <v>August</v>
      </c>
      <c r="T192">
        <f t="shared" si="2"/>
        <v>8</v>
      </c>
      <c r="U192" t="str">
        <f>"Q"&amp;ROUNDUP(MONTH(Sales_Data[[#This Row],[Order_Date]])/3,0)</f>
        <v>Q3</v>
      </c>
      <c r="V192" t="s">
        <v>32</v>
      </c>
      <c r="W192" t="s">
        <v>65</v>
      </c>
      <c r="X192" t="s">
        <v>45</v>
      </c>
      <c r="Y192">
        <v>7</v>
      </c>
      <c r="Z192">
        <v>19</v>
      </c>
      <c r="AA192">
        <v>4</v>
      </c>
      <c r="AB192" t="s">
        <v>123</v>
      </c>
      <c r="AC192" t="s">
        <v>90</v>
      </c>
      <c r="AD192">
        <v>2025</v>
      </c>
    </row>
    <row r="193" spans="1:30" x14ac:dyDescent="0.45">
      <c r="A193" t="s">
        <v>472</v>
      </c>
      <c r="B193" t="s">
        <v>473</v>
      </c>
      <c r="C193" t="str">
        <f>_xlfn.XLOOKUP(Sales_Data[[#This Row],[Product_ID]],Product_Master[Product_ID],Product_Master[Product],"Not Found")</f>
        <v>uPVC Doors</v>
      </c>
      <c r="D193" s="3">
        <v>45669</v>
      </c>
      <c r="E193" t="s">
        <v>59</v>
      </c>
      <c r="F193" t="s">
        <v>39</v>
      </c>
      <c r="G193" t="s">
        <v>61</v>
      </c>
      <c r="H193" t="s">
        <v>83</v>
      </c>
      <c r="I193" t="s">
        <v>107</v>
      </c>
      <c r="J193" t="s">
        <v>108</v>
      </c>
      <c r="K193" t="s">
        <v>43</v>
      </c>
      <c r="L193">
        <v>5</v>
      </c>
      <c r="M193">
        <v>33242</v>
      </c>
      <c r="N193">
        <v>0.15</v>
      </c>
      <c r="O193">
        <v>166210</v>
      </c>
      <c r="P193">
        <v>24931.5</v>
      </c>
      <c r="Q193">
        <v>141278.5</v>
      </c>
      <c r="R193">
        <f>YEAR(Sales_Data[[#This Row],[Order_Date]])</f>
        <v>2025</v>
      </c>
      <c r="S193" t="str">
        <f>TEXT(Sales_Data[[#This Row],[Order_Date]],"mmmm")</f>
        <v>January</v>
      </c>
      <c r="T193">
        <f t="shared" si="2"/>
        <v>1</v>
      </c>
      <c r="U193" t="str">
        <f>"Q"&amp;ROUNDUP(MONTH(Sales_Data[[#This Row],[Order_Date]])/3,0)</f>
        <v>Q1</v>
      </c>
      <c r="V193" t="s">
        <v>98</v>
      </c>
      <c r="W193" t="s">
        <v>54</v>
      </c>
      <c r="X193" t="s">
        <v>45</v>
      </c>
      <c r="Y193">
        <v>4</v>
      </c>
      <c r="Z193">
        <v>26</v>
      </c>
      <c r="AA193">
        <v>4</v>
      </c>
      <c r="AB193" t="s">
        <v>144</v>
      </c>
      <c r="AC193" t="s">
        <v>56</v>
      </c>
      <c r="AD193">
        <v>2025</v>
      </c>
    </row>
    <row r="194" spans="1:30" x14ac:dyDescent="0.45">
      <c r="A194" t="s">
        <v>474</v>
      </c>
      <c r="B194" t="s">
        <v>475</v>
      </c>
      <c r="C194" t="str">
        <f>_xlfn.XLOOKUP(Sales_Data[[#This Row],[Product_ID]],Product_Master[Product_ID],Product_Master[Product],"Not Found")</f>
        <v>Bi-Fold Doors</v>
      </c>
      <c r="D194" s="3">
        <v>45702</v>
      </c>
      <c r="E194" t="s">
        <v>25</v>
      </c>
      <c r="F194" t="s">
        <v>60</v>
      </c>
      <c r="G194" t="s">
        <v>82</v>
      </c>
      <c r="H194" t="s">
        <v>83</v>
      </c>
      <c r="I194" t="s">
        <v>41</v>
      </c>
      <c r="J194" t="s">
        <v>42</v>
      </c>
      <c r="K194" t="s">
        <v>43</v>
      </c>
      <c r="L194">
        <v>3</v>
      </c>
      <c r="M194">
        <v>59086</v>
      </c>
      <c r="N194">
        <v>0.05</v>
      </c>
      <c r="O194">
        <v>177258</v>
      </c>
      <c r="P194">
        <v>8862.9</v>
      </c>
      <c r="Q194">
        <v>168395.1</v>
      </c>
      <c r="R194">
        <f>YEAR(Sales_Data[[#This Row],[Order_Date]])</f>
        <v>2025</v>
      </c>
      <c r="S194" t="str">
        <f>TEXT(Sales_Data[[#This Row],[Order_Date]],"mmmm")</f>
        <v>February</v>
      </c>
      <c r="T194">
        <f t="shared" ref="T194:T257" si="3">MONTH($D194)</f>
        <v>2</v>
      </c>
      <c r="U194" t="str">
        <f>"Q"&amp;ROUNDUP(MONTH(Sales_Data[[#This Row],[Order_Date]])/3,0)</f>
        <v>Q1</v>
      </c>
      <c r="V194" t="s">
        <v>98</v>
      </c>
      <c r="W194" t="s">
        <v>54</v>
      </c>
      <c r="X194" t="s">
        <v>45</v>
      </c>
      <c r="Y194">
        <v>7</v>
      </c>
      <c r="Z194">
        <v>23</v>
      </c>
      <c r="AA194">
        <v>4</v>
      </c>
      <c r="AB194" t="s">
        <v>55</v>
      </c>
      <c r="AC194" t="s">
        <v>56</v>
      </c>
      <c r="AD194">
        <v>2025</v>
      </c>
    </row>
    <row r="195" spans="1:30" x14ac:dyDescent="0.45">
      <c r="A195" t="s">
        <v>476</v>
      </c>
      <c r="B195" t="s">
        <v>477</v>
      </c>
      <c r="C195" t="str">
        <f>_xlfn.XLOOKUP(Sales_Data[[#This Row],[Product_ID]],Product_Master[Product_ID],Product_Master[Product],"Not Found")</f>
        <v>Bi-Fold Doors</v>
      </c>
      <c r="D195" s="3">
        <v>45773</v>
      </c>
      <c r="E195" t="s">
        <v>25</v>
      </c>
      <c r="F195" t="s">
        <v>26</v>
      </c>
      <c r="G195" t="s">
        <v>82</v>
      </c>
      <c r="H195" t="s">
        <v>83</v>
      </c>
      <c r="I195" t="s">
        <v>41</v>
      </c>
      <c r="J195" t="s">
        <v>42</v>
      </c>
      <c r="K195" t="s">
        <v>43</v>
      </c>
      <c r="L195">
        <v>1</v>
      </c>
      <c r="M195">
        <v>51440</v>
      </c>
      <c r="N195">
        <v>0.1</v>
      </c>
      <c r="O195">
        <v>51440</v>
      </c>
      <c r="P195">
        <v>5144</v>
      </c>
      <c r="Q195">
        <v>46296</v>
      </c>
      <c r="R195">
        <f>YEAR(Sales_Data[[#This Row],[Order_Date]])</f>
        <v>2025</v>
      </c>
      <c r="S195" t="str">
        <f>TEXT(Sales_Data[[#This Row],[Order_Date]],"mmmm")</f>
        <v>April</v>
      </c>
      <c r="T195">
        <f t="shared" si="3"/>
        <v>4</v>
      </c>
      <c r="U195" t="str">
        <f>"Q"&amp;ROUNDUP(MONTH(Sales_Data[[#This Row],[Order_Date]])/3,0)</f>
        <v>Q2</v>
      </c>
      <c r="V195" t="s">
        <v>44</v>
      </c>
      <c r="W195" t="s">
        <v>33</v>
      </c>
      <c r="X195" t="s">
        <v>45</v>
      </c>
      <c r="Y195">
        <v>4</v>
      </c>
      <c r="Z195">
        <v>16</v>
      </c>
      <c r="AA195">
        <v>2</v>
      </c>
      <c r="AB195" t="s">
        <v>77</v>
      </c>
      <c r="AC195" t="s">
        <v>47</v>
      </c>
      <c r="AD195">
        <v>2025</v>
      </c>
    </row>
    <row r="196" spans="1:30" x14ac:dyDescent="0.45">
      <c r="A196" t="s">
        <v>478</v>
      </c>
      <c r="B196" t="s">
        <v>479</v>
      </c>
      <c r="C196" t="str">
        <f>_xlfn.XLOOKUP(Sales_Data[[#This Row],[Product_ID]],Product_Master[Product_ID],Product_Master[Product],"Not Found")</f>
        <v>Aluminium Windows</v>
      </c>
      <c r="D196" s="3">
        <v>45794</v>
      </c>
      <c r="E196" t="s">
        <v>25</v>
      </c>
      <c r="F196" t="s">
        <v>60</v>
      </c>
      <c r="G196" t="s">
        <v>139</v>
      </c>
      <c r="H196" t="s">
        <v>119</v>
      </c>
      <c r="I196" t="s">
        <v>52</v>
      </c>
      <c r="J196" t="s">
        <v>53</v>
      </c>
      <c r="K196" t="s">
        <v>31</v>
      </c>
      <c r="L196">
        <v>2</v>
      </c>
      <c r="M196">
        <v>22575</v>
      </c>
      <c r="N196">
        <v>0</v>
      </c>
      <c r="O196">
        <v>45150</v>
      </c>
      <c r="P196">
        <v>0</v>
      </c>
      <c r="Q196">
        <v>45150</v>
      </c>
      <c r="R196">
        <f>YEAR(Sales_Data[[#This Row],[Order_Date]])</f>
        <v>2025</v>
      </c>
      <c r="S196" t="str">
        <f>TEXT(Sales_Data[[#This Row],[Order_Date]],"mmmm")</f>
        <v>May</v>
      </c>
      <c r="T196">
        <f t="shared" si="3"/>
        <v>5</v>
      </c>
      <c r="U196" t="str">
        <f>"Q"&amp;ROUNDUP(MONTH(Sales_Data[[#This Row],[Order_Date]])/3,0)</f>
        <v>Q2</v>
      </c>
      <c r="V196" t="s">
        <v>44</v>
      </c>
      <c r="W196" t="s">
        <v>54</v>
      </c>
      <c r="X196" t="s">
        <v>45</v>
      </c>
      <c r="Y196">
        <v>5</v>
      </c>
      <c r="Z196">
        <v>6</v>
      </c>
      <c r="AA196">
        <v>4</v>
      </c>
      <c r="AB196" t="s">
        <v>72</v>
      </c>
      <c r="AC196" t="s">
        <v>47</v>
      </c>
      <c r="AD196">
        <v>2025</v>
      </c>
    </row>
    <row r="197" spans="1:30" x14ac:dyDescent="0.45">
      <c r="A197" t="s">
        <v>480</v>
      </c>
      <c r="B197" t="s">
        <v>481</v>
      </c>
      <c r="C197" t="str">
        <f>_xlfn.XLOOKUP(Sales_Data[[#This Row],[Product_ID]],Product_Master[Product_ID],Product_Master[Product],"Not Found")</f>
        <v>uPVC Windows</v>
      </c>
      <c r="D197" s="3">
        <v>45899</v>
      </c>
      <c r="E197" t="s">
        <v>25</v>
      </c>
      <c r="F197" t="s">
        <v>26</v>
      </c>
      <c r="G197" t="s">
        <v>116</v>
      </c>
      <c r="H197" t="s">
        <v>51</v>
      </c>
      <c r="I197" t="s">
        <v>62</v>
      </c>
      <c r="J197" t="s">
        <v>63</v>
      </c>
      <c r="K197" t="s">
        <v>31</v>
      </c>
      <c r="L197">
        <v>3</v>
      </c>
      <c r="M197">
        <v>16710</v>
      </c>
      <c r="N197">
        <v>0.2</v>
      </c>
      <c r="O197">
        <v>50130</v>
      </c>
      <c r="P197">
        <v>10026</v>
      </c>
      <c r="Q197">
        <v>40104</v>
      </c>
      <c r="R197">
        <f>YEAR(Sales_Data[[#This Row],[Order_Date]])</f>
        <v>2025</v>
      </c>
      <c r="S197" t="str">
        <f>TEXT(Sales_Data[[#This Row],[Order_Date]],"mmmm")</f>
        <v>August</v>
      </c>
      <c r="T197">
        <f t="shared" si="3"/>
        <v>8</v>
      </c>
      <c r="U197" t="str">
        <f>"Q"&amp;ROUNDUP(MONTH(Sales_Data[[#This Row],[Order_Date]])/3,0)</f>
        <v>Q3</v>
      </c>
      <c r="V197" t="s">
        <v>32</v>
      </c>
      <c r="W197" t="s">
        <v>33</v>
      </c>
      <c r="X197" t="s">
        <v>45</v>
      </c>
      <c r="Y197">
        <v>2</v>
      </c>
      <c r="Z197">
        <v>29</v>
      </c>
      <c r="AA197">
        <v>3</v>
      </c>
      <c r="AB197" t="s">
        <v>123</v>
      </c>
      <c r="AC197" t="s">
        <v>90</v>
      </c>
      <c r="AD197">
        <v>2025</v>
      </c>
    </row>
    <row r="198" spans="1:30" x14ac:dyDescent="0.45">
      <c r="A198" t="s">
        <v>482</v>
      </c>
      <c r="B198" t="s">
        <v>483</v>
      </c>
      <c r="C198" t="str">
        <f>_xlfn.XLOOKUP(Sales_Data[[#This Row],[Product_ID]],Product_Master[Product_ID],Product_Master[Product],"Not Found")</f>
        <v>uPVC Windows</v>
      </c>
      <c r="D198" s="3">
        <v>45869</v>
      </c>
      <c r="E198" t="s">
        <v>59</v>
      </c>
      <c r="F198" t="s">
        <v>60</v>
      </c>
      <c r="G198" t="s">
        <v>61</v>
      </c>
      <c r="H198" t="s">
        <v>119</v>
      </c>
      <c r="I198" t="s">
        <v>62</v>
      </c>
      <c r="J198" t="s">
        <v>63</v>
      </c>
      <c r="K198" t="s">
        <v>31</v>
      </c>
      <c r="L198">
        <v>4</v>
      </c>
      <c r="M198">
        <v>16634</v>
      </c>
      <c r="N198">
        <v>0</v>
      </c>
      <c r="O198">
        <v>66536</v>
      </c>
      <c r="P198">
        <v>0</v>
      </c>
      <c r="Q198">
        <v>66536</v>
      </c>
      <c r="R198">
        <f>YEAR(Sales_Data[[#This Row],[Order_Date]])</f>
        <v>2025</v>
      </c>
      <c r="S198" t="str">
        <f>TEXT(Sales_Data[[#This Row],[Order_Date]],"mmmm")</f>
        <v>July</v>
      </c>
      <c r="T198">
        <f t="shared" si="3"/>
        <v>7</v>
      </c>
      <c r="U198" t="str">
        <f>"Q"&amp;ROUNDUP(MONTH(Sales_Data[[#This Row],[Order_Date]])/3,0)</f>
        <v>Q3</v>
      </c>
      <c r="V198" t="s">
        <v>44</v>
      </c>
      <c r="W198" t="s">
        <v>54</v>
      </c>
      <c r="X198" t="s">
        <v>93</v>
      </c>
      <c r="Y198">
        <v>6</v>
      </c>
      <c r="Z198">
        <v>7</v>
      </c>
      <c r="AA198">
        <v>5</v>
      </c>
      <c r="AB198" t="s">
        <v>155</v>
      </c>
      <c r="AC198" t="s">
        <v>90</v>
      </c>
      <c r="AD198">
        <v>2025</v>
      </c>
    </row>
    <row r="199" spans="1:30" x14ac:dyDescent="0.45">
      <c r="A199" t="s">
        <v>484</v>
      </c>
      <c r="B199" t="s">
        <v>485</v>
      </c>
      <c r="C199" t="str">
        <f>_xlfn.XLOOKUP(Sales_Data[[#This Row],[Product_ID]],Product_Master[Product_ID],Product_Master[Product],"Not Found")</f>
        <v>Sliding Doors</v>
      </c>
      <c r="D199" s="3">
        <v>45868</v>
      </c>
      <c r="E199" t="s">
        <v>59</v>
      </c>
      <c r="F199" t="s">
        <v>26</v>
      </c>
      <c r="G199" t="s">
        <v>139</v>
      </c>
      <c r="H199" t="s">
        <v>119</v>
      </c>
      <c r="I199" t="s">
        <v>101</v>
      </c>
      <c r="J199" t="s">
        <v>102</v>
      </c>
      <c r="K199" t="s">
        <v>43</v>
      </c>
      <c r="L199">
        <v>4</v>
      </c>
      <c r="M199">
        <v>36321</v>
      </c>
      <c r="N199">
        <v>0.1</v>
      </c>
      <c r="O199">
        <v>145284</v>
      </c>
      <c r="P199">
        <v>14528.4</v>
      </c>
      <c r="Q199">
        <v>130755.6</v>
      </c>
      <c r="R199">
        <f>YEAR(Sales_Data[[#This Row],[Order_Date]])</f>
        <v>2025</v>
      </c>
      <c r="S199" t="str">
        <f>TEXT(Sales_Data[[#This Row],[Order_Date]],"mmmm")</f>
        <v>July</v>
      </c>
      <c r="T199">
        <f t="shared" si="3"/>
        <v>7</v>
      </c>
      <c r="U199" t="str">
        <f>"Q"&amp;ROUNDUP(MONTH(Sales_Data[[#This Row],[Order_Date]])/3,0)</f>
        <v>Q3</v>
      </c>
      <c r="V199" t="s">
        <v>32</v>
      </c>
      <c r="W199" t="s">
        <v>65</v>
      </c>
      <c r="X199" t="s">
        <v>34</v>
      </c>
      <c r="Y199">
        <v>7</v>
      </c>
      <c r="Z199">
        <v>23</v>
      </c>
      <c r="AA199">
        <v>4</v>
      </c>
      <c r="AB199" t="s">
        <v>155</v>
      </c>
      <c r="AC199" t="s">
        <v>90</v>
      </c>
      <c r="AD199">
        <v>2025</v>
      </c>
    </row>
    <row r="200" spans="1:30" x14ac:dyDescent="0.45">
      <c r="A200" t="s">
        <v>486</v>
      </c>
      <c r="B200" t="s">
        <v>487</v>
      </c>
      <c r="C200" t="str">
        <f>_xlfn.XLOOKUP(Sales_Data[[#This Row],[Product_ID]],Product_Master[Product_ID],Product_Master[Product],"Not Found")</f>
        <v>Casement Windows</v>
      </c>
      <c r="D200" s="3">
        <v>45745</v>
      </c>
      <c r="E200" t="s">
        <v>25</v>
      </c>
      <c r="F200" t="s">
        <v>39</v>
      </c>
      <c r="G200" t="s">
        <v>50</v>
      </c>
      <c r="H200" t="s">
        <v>112</v>
      </c>
      <c r="I200" t="s">
        <v>75</v>
      </c>
      <c r="J200" t="s">
        <v>76</v>
      </c>
      <c r="K200" t="s">
        <v>31</v>
      </c>
      <c r="L200">
        <v>1</v>
      </c>
      <c r="M200">
        <v>29738</v>
      </c>
      <c r="N200">
        <v>0.15</v>
      </c>
      <c r="O200">
        <v>29738</v>
      </c>
      <c r="P200">
        <v>4460.7</v>
      </c>
      <c r="Q200">
        <v>25277.3</v>
      </c>
      <c r="R200">
        <f>YEAR(Sales_Data[[#This Row],[Order_Date]])</f>
        <v>2025</v>
      </c>
      <c r="S200" t="str">
        <f>TEXT(Sales_Data[[#This Row],[Order_Date]],"mmmm")</f>
        <v>March</v>
      </c>
      <c r="T200">
        <f t="shared" si="3"/>
        <v>3</v>
      </c>
      <c r="U200" t="str">
        <f>"Q"&amp;ROUNDUP(MONTH(Sales_Data[[#This Row],[Order_Date]])/3,0)</f>
        <v>Q1</v>
      </c>
      <c r="V200" t="s">
        <v>44</v>
      </c>
      <c r="W200" t="s">
        <v>54</v>
      </c>
      <c r="X200" t="s">
        <v>34</v>
      </c>
      <c r="Y200">
        <v>2</v>
      </c>
      <c r="Z200">
        <v>15</v>
      </c>
      <c r="AA200">
        <v>4</v>
      </c>
      <c r="AB200" t="s">
        <v>130</v>
      </c>
      <c r="AC200" t="s">
        <v>56</v>
      </c>
      <c r="AD200">
        <v>2025</v>
      </c>
    </row>
    <row r="201" spans="1:30" x14ac:dyDescent="0.45">
      <c r="A201" t="s">
        <v>488</v>
      </c>
      <c r="B201" t="s">
        <v>489</v>
      </c>
      <c r="C201" t="str">
        <f>_xlfn.XLOOKUP(Sales_Data[[#This Row],[Product_ID]],Product_Master[Product_ID],Product_Master[Product],"Not Found")</f>
        <v>uPVC Windows</v>
      </c>
      <c r="D201" s="3">
        <v>45872</v>
      </c>
      <c r="E201" t="s">
        <v>59</v>
      </c>
      <c r="F201" t="s">
        <v>39</v>
      </c>
      <c r="G201" t="s">
        <v>111</v>
      </c>
      <c r="H201" t="s">
        <v>71</v>
      </c>
      <c r="I201" t="s">
        <v>62</v>
      </c>
      <c r="J201" t="s">
        <v>63</v>
      </c>
      <c r="K201" t="s">
        <v>31</v>
      </c>
      <c r="L201">
        <v>5</v>
      </c>
      <c r="M201">
        <v>16742</v>
      </c>
      <c r="N201">
        <v>0.1</v>
      </c>
      <c r="O201">
        <v>83710</v>
      </c>
      <c r="P201">
        <v>8371</v>
      </c>
      <c r="Q201">
        <v>75339</v>
      </c>
      <c r="R201">
        <f>YEAR(Sales_Data[[#This Row],[Order_Date]])</f>
        <v>2025</v>
      </c>
      <c r="S201" t="str">
        <f>TEXT(Sales_Data[[#This Row],[Order_Date]],"mmmm")</f>
        <v>August</v>
      </c>
      <c r="T201">
        <f t="shared" si="3"/>
        <v>8</v>
      </c>
      <c r="U201" t="str">
        <f>"Q"&amp;ROUNDUP(MONTH(Sales_Data[[#This Row],[Order_Date]])/3,0)</f>
        <v>Q3</v>
      </c>
      <c r="V201" t="s">
        <v>32</v>
      </c>
      <c r="W201" t="s">
        <v>33</v>
      </c>
      <c r="X201" t="s">
        <v>45</v>
      </c>
      <c r="Y201">
        <v>6</v>
      </c>
      <c r="Z201">
        <v>7</v>
      </c>
      <c r="AA201">
        <v>5</v>
      </c>
      <c r="AB201" t="s">
        <v>123</v>
      </c>
      <c r="AC201" t="s">
        <v>90</v>
      </c>
      <c r="AD201">
        <v>2025</v>
      </c>
    </row>
    <row r="202" spans="1:30" x14ac:dyDescent="0.45">
      <c r="A202" t="s">
        <v>490</v>
      </c>
      <c r="B202" t="s">
        <v>491</v>
      </c>
      <c r="C202" t="str">
        <f>_xlfn.XLOOKUP(Sales_Data[[#This Row],[Product_ID]],Product_Master[Product_ID],Product_Master[Product],"Not Found")</f>
        <v>uPVC Windows</v>
      </c>
      <c r="D202" s="3">
        <v>45865</v>
      </c>
      <c r="E202" t="s">
        <v>59</v>
      </c>
      <c r="F202" t="s">
        <v>60</v>
      </c>
      <c r="G202" t="s">
        <v>61</v>
      </c>
      <c r="H202" t="s">
        <v>71</v>
      </c>
      <c r="I202" t="s">
        <v>62</v>
      </c>
      <c r="J202" t="s">
        <v>63</v>
      </c>
      <c r="K202" t="s">
        <v>31</v>
      </c>
      <c r="L202">
        <v>6</v>
      </c>
      <c r="M202">
        <v>17796</v>
      </c>
      <c r="N202">
        <v>0.05</v>
      </c>
      <c r="O202">
        <v>106776</v>
      </c>
      <c r="P202">
        <v>5338.8</v>
      </c>
      <c r="Q202">
        <v>101437.2</v>
      </c>
      <c r="R202">
        <f>YEAR(Sales_Data[[#This Row],[Order_Date]])</f>
        <v>2025</v>
      </c>
      <c r="S202" t="str">
        <f>TEXT(Sales_Data[[#This Row],[Order_Date]],"mmmm")</f>
        <v>July</v>
      </c>
      <c r="T202">
        <f t="shared" si="3"/>
        <v>7</v>
      </c>
      <c r="U202" t="str">
        <f>"Q"&amp;ROUNDUP(MONTH(Sales_Data[[#This Row],[Order_Date]])/3,0)</f>
        <v>Q3</v>
      </c>
      <c r="V202" t="s">
        <v>32</v>
      </c>
      <c r="W202" t="s">
        <v>33</v>
      </c>
      <c r="X202" t="s">
        <v>34</v>
      </c>
      <c r="Y202">
        <v>6</v>
      </c>
      <c r="Z202">
        <v>24</v>
      </c>
      <c r="AA202">
        <v>4</v>
      </c>
      <c r="AB202" t="s">
        <v>155</v>
      </c>
      <c r="AC202" t="s">
        <v>90</v>
      </c>
      <c r="AD202">
        <v>2025</v>
      </c>
    </row>
    <row r="203" spans="1:30" x14ac:dyDescent="0.45">
      <c r="A203" t="s">
        <v>492</v>
      </c>
      <c r="B203" t="s">
        <v>493</v>
      </c>
      <c r="C203" t="str">
        <f>_xlfn.XLOOKUP(Sales_Data[[#This Row],[Product_ID]],Product_Master[Product_ID],Product_Master[Product],"Not Found")</f>
        <v>Soundproof Windows</v>
      </c>
      <c r="D203" s="3">
        <v>45744</v>
      </c>
      <c r="E203" t="s">
        <v>25</v>
      </c>
      <c r="F203" t="s">
        <v>39</v>
      </c>
      <c r="G203" t="s">
        <v>116</v>
      </c>
      <c r="H203" t="s">
        <v>51</v>
      </c>
      <c r="I203" t="s">
        <v>29</v>
      </c>
      <c r="J203" t="s">
        <v>30</v>
      </c>
      <c r="K203" t="s">
        <v>31</v>
      </c>
      <c r="L203">
        <v>1</v>
      </c>
      <c r="M203">
        <v>54486</v>
      </c>
      <c r="N203">
        <v>0.1</v>
      </c>
      <c r="O203">
        <v>54486</v>
      </c>
      <c r="P203">
        <v>5448.6</v>
      </c>
      <c r="Q203">
        <v>49037.4</v>
      </c>
      <c r="R203">
        <f>YEAR(Sales_Data[[#This Row],[Order_Date]])</f>
        <v>2025</v>
      </c>
      <c r="S203" t="str">
        <f>TEXT(Sales_Data[[#This Row],[Order_Date]],"mmmm")</f>
        <v>March</v>
      </c>
      <c r="T203">
        <f t="shared" si="3"/>
        <v>3</v>
      </c>
      <c r="U203" t="str">
        <f>"Q"&amp;ROUNDUP(MONTH(Sales_Data[[#This Row],[Order_Date]])/3,0)</f>
        <v>Q1</v>
      </c>
      <c r="V203" t="s">
        <v>32</v>
      </c>
      <c r="W203" t="s">
        <v>33</v>
      </c>
      <c r="X203" t="s">
        <v>34</v>
      </c>
      <c r="Y203">
        <v>6</v>
      </c>
      <c r="Z203">
        <v>24</v>
      </c>
      <c r="AA203">
        <v>4</v>
      </c>
      <c r="AB203" t="s">
        <v>130</v>
      </c>
      <c r="AC203" t="s">
        <v>56</v>
      </c>
      <c r="AD203">
        <v>2025</v>
      </c>
    </row>
    <row r="204" spans="1:30" x14ac:dyDescent="0.45">
      <c r="A204" t="s">
        <v>494</v>
      </c>
      <c r="B204" t="s">
        <v>495</v>
      </c>
      <c r="C204" t="str">
        <f>_xlfn.XLOOKUP(Sales_Data[[#This Row],[Product_ID]],Product_Master[Product_ID],Product_Master[Product],"Not Found")</f>
        <v>French Doors</v>
      </c>
      <c r="D204" s="3">
        <v>45845</v>
      </c>
      <c r="E204" t="s">
        <v>25</v>
      </c>
      <c r="F204" t="s">
        <v>26</v>
      </c>
      <c r="G204" t="s">
        <v>50</v>
      </c>
      <c r="H204" t="s">
        <v>71</v>
      </c>
      <c r="I204" t="s">
        <v>84</v>
      </c>
      <c r="J204" t="s">
        <v>85</v>
      </c>
      <c r="K204" t="s">
        <v>43</v>
      </c>
      <c r="L204">
        <v>2</v>
      </c>
      <c r="M204">
        <v>38199</v>
      </c>
      <c r="N204">
        <v>0.1</v>
      </c>
      <c r="O204">
        <v>76398</v>
      </c>
      <c r="P204">
        <v>7639.8</v>
      </c>
      <c r="Q204">
        <v>68758.2</v>
      </c>
      <c r="R204">
        <f>YEAR(Sales_Data[[#This Row],[Order_Date]])</f>
        <v>2025</v>
      </c>
      <c r="S204" t="str">
        <f>TEXT(Sales_Data[[#This Row],[Order_Date]],"mmmm")</f>
        <v>July</v>
      </c>
      <c r="T204">
        <f t="shared" si="3"/>
        <v>7</v>
      </c>
      <c r="U204" t="str">
        <f>"Q"&amp;ROUNDUP(MONTH(Sales_Data[[#This Row],[Order_Date]])/3,0)</f>
        <v>Q3</v>
      </c>
      <c r="V204" t="s">
        <v>32</v>
      </c>
      <c r="W204" t="s">
        <v>33</v>
      </c>
      <c r="X204" t="s">
        <v>45</v>
      </c>
      <c r="Y204">
        <v>5</v>
      </c>
      <c r="Z204">
        <v>28</v>
      </c>
      <c r="AA204">
        <v>5</v>
      </c>
      <c r="AB204" t="s">
        <v>155</v>
      </c>
      <c r="AC204" t="s">
        <v>90</v>
      </c>
      <c r="AD204">
        <v>2025</v>
      </c>
    </row>
    <row r="205" spans="1:30" x14ac:dyDescent="0.45">
      <c r="A205" t="s">
        <v>496</v>
      </c>
      <c r="B205" t="s">
        <v>497</v>
      </c>
      <c r="C205" t="str">
        <f>_xlfn.XLOOKUP(Sales_Data[[#This Row],[Product_ID]],Product_Master[Product_ID],Product_Master[Product],"Not Found")</f>
        <v>Aluminium Windows</v>
      </c>
      <c r="D205" s="3">
        <v>45901</v>
      </c>
      <c r="E205" t="s">
        <v>59</v>
      </c>
      <c r="F205" t="s">
        <v>26</v>
      </c>
      <c r="G205" t="s">
        <v>50</v>
      </c>
      <c r="H205" t="s">
        <v>83</v>
      </c>
      <c r="I205" t="s">
        <v>52</v>
      </c>
      <c r="J205" t="s">
        <v>53</v>
      </c>
      <c r="K205" t="s">
        <v>31</v>
      </c>
      <c r="L205">
        <v>3</v>
      </c>
      <c r="M205">
        <v>23531</v>
      </c>
      <c r="N205">
        <v>0.1</v>
      </c>
      <c r="O205">
        <v>70593</v>
      </c>
      <c r="P205">
        <v>7059.3</v>
      </c>
      <c r="Q205">
        <v>63533.7</v>
      </c>
      <c r="R205">
        <f>YEAR(Sales_Data[[#This Row],[Order_Date]])</f>
        <v>2025</v>
      </c>
      <c r="S205" t="str">
        <f>TEXT(Sales_Data[[#This Row],[Order_Date]],"mmmm")</f>
        <v>September</v>
      </c>
      <c r="T205">
        <f t="shared" si="3"/>
        <v>9</v>
      </c>
      <c r="U205" t="str">
        <f>"Q"&amp;ROUNDUP(MONTH(Sales_Data[[#This Row],[Order_Date]])/3,0)</f>
        <v>Q3</v>
      </c>
      <c r="V205" t="s">
        <v>98</v>
      </c>
      <c r="W205" t="s">
        <v>33</v>
      </c>
      <c r="X205" t="s">
        <v>66</v>
      </c>
      <c r="Y205">
        <v>7</v>
      </c>
      <c r="Z205">
        <v>8</v>
      </c>
      <c r="AA205">
        <v>5</v>
      </c>
      <c r="AB205" t="s">
        <v>89</v>
      </c>
      <c r="AC205" t="s">
        <v>90</v>
      </c>
      <c r="AD205">
        <v>2025</v>
      </c>
    </row>
    <row r="206" spans="1:30" x14ac:dyDescent="0.45">
      <c r="A206" t="s">
        <v>498</v>
      </c>
      <c r="B206" t="s">
        <v>499</v>
      </c>
      <c r="C206" t="str">
        <f>_xlfn.XLOOKUP(Sales_Data[[#This Row],[Product_ID]],Product_Master[Product_ID],Product_Master[Product],"Not Found")</f>
        <v>uPVC Doors</v>
      </c>
      <c r="D206" s="3">
        <v>45961</v>
      </c>
      <c r="E206" t="s">
        <v>25</v>
      </c>
      <c r="F206" t="s">
        <v>60</v>
      </c>
      <c r="G206" t="s">
        <v>27</v>
      </c>
      <c r="H206" t="s">
        <v>112</v>
      </c>
      <c r="I206" t="s">
        <v>107</v>
      </c>
      <c r="J206" t="s">
        <v>108</v>
      </c>
      <c r="K206" t="s">
        <v>43</v>
      </c>
      <c r="L206">
        <v>6</v>
      </c>
      <c r="M206">
        <v>32663</v>
      </c>
      <c r="N206">
        <v>0.1</v>
      </c>
      <c r="O206">
        <v>195978</v>
      </c>
      <c r="P206">
        <v>19597.8</v>
      </c>
      <c r="Q206">
        <v>176380.2</v>
      </c>
      <c r="R206">
        <f>YEAR(Sales_Data[[#This Row],[Order_Date]])</f>
        <v>2025</v>
      </c>
      <c r="S206" t="str">
        <f>TEXT(Sales_Data[[#This Row],[Order_Date]],"mmmm")</f>
        <v>October</v>
      </c>
      <c r="T206">
        <f t="shared" si="3"/>
        <v>10</v>
      </c>
      <c r="U206" t="str">
        <f>"Q"&amp;ROUNDUP(MONTH(Sales_Data[[#This Row],[Order_Date]])/3,0)</f>
        <v>Q4</v>
      </c>
      <c r="V206" t="s">
        <v>32</v>
      </c>
      <c r="W206" t="s">
        <v>65</v>
      </c>
      <c r="X206" t="s">
        <v>66</v>
      </c>
      <c r="Y206">
        <v>2</v>
      </c>
      <c r="Z206">
        <v>30</v>
      </c>
      <c r="AA206">
        <v>3</v>
      </c>
      <c r="AB206" t="s">
        <v>35</v>
      </c>
      <c r="AC206" t="s">
        <v>36</v>
      </c>
      <c r="AD206">
        <v>2025</v>
      </c>
    </row>
    <row r="207" spans="1:30" x14ac:dyDescent="0.45">
      <c r="A207" t="s">
        <v>500</v>
      </c>
      <c r="B207" t="s">
        <v>501</v>
      </c>
      <c r="C207" t="str">
        <f>_xlfn.XLOOKUP(Sales_Data[[#This Row],[Product_ID]],Product_Master[Product_ID],Product_Master[Product],"Not Found")</f>
        <v>Aluminium Windows</v>
      </c>
      <c r="D207" s="3">
        <v>45690</v>
      </c>
      <c r="E207" t="s">
        <v>59</v>
      </c>
      <c r="F207" t="s">
        <v>70</v>
      </c>
      <c r="G207" t="s">
        <v>116</v>
      </c>
      <c r="H207" t="s">
        <v>112</v>
      </c>
      <c r="I207" t="s">
        <v>52</v>
      </c>
      <c r="J207" t="s">
        <v>53</v>
      </c>
      <c r="K207" t="s">
        <v>31</v>
      </c>
      <c r="L207">
        <v>2</v>
      </c>
      <c r="M207">
        <v>24253</v>
      </c>
      <c r="N207">
        <v>0.2</v>
      </c>
      <c r="O207">
        <v>48506</v>
      </c>
      <c r="P207">
        <v>9701.2000000000007</v>
      </c>
      <c r="Q207">
        <v>38804.800000000003</v>
      </c>
      <c r="R207">
        <f>YEAR(Sales_Data[[#This Row],[Order_Date]])</f>
        <v>2025</v>
      </c>
      <c r="S207" t="str">
        <f>TEXT(Sales_Data[[#This Row],[Order_Date]],"mmmm")</f>
        <v>February</v>
      </c>
      <c r="T207">
        <f t="shared" si="3"/>
        <v>2</v>
      </c>
      <c r="U207" t="str">
        <f>"Q"&amp;ROUNDUP(MONTH(Sales_Data[[#This Row],[Order_Date]])/3,0)</f>
        <v>Q1</v>
      </c>
      <c r="V207" t="s">
        <v>32</v>
      </c>
      <c r="W207" t="s">
        <v>54</v>
      </c>
      <c r="X207" t="s">
        <v>45</v>
      </c>
      <c r="Y207">
        <v>6</v>
      </c>
      <c r="Z207">
        <v>25</v>
      </c>
      <c r="AA207">
        <v>4</v>
      </c>
      <c r="AB207" t="s">
        <v>55</v>
      </c>
      <c r="AC207" t="s">
        <v>56</v>
      </c>
      <c r="AD207">
        <v>2025</v>
      </c>
    </row>
    <row r="208" spans="1:30" x14ac:dyDescent="0.45">
      <c r="A208" t="s">
        <v>502</v>
      </c>
      <c r="B208" t="s">
        <v>503</v>
      </c>
      <c r="C208" t="str">
        <f>_xlfn.XLOOKUP(Sales_Data[[#This Row],[Product_ID]],Product_Master[Product_ID],Product_Master[Product],"Not Found")</f>
        <v>French Doors</v>
      </c>
      <c r="D208" s="3">
        <v>45755</v>
      </c>
      <c r="E208" t="s">
        <v>59</v>
      </c>
      <c r="F208" t="s">
        <v>60</v>
      </c>
      <c r="G208" t="s">
        <v>111</v>
      </c>
      <c r="H208" t="s">
        <v>71</v>
      </c>
      <c r="I208" t="s">
        <v>84</v>
      </c>
      <c r="J208" t="s">
        <v>85</v>
      </c>
      <c r="K208" t="s">
        <v>43</v>
      </c>
      <c r="L208">
        <v>5</v>
      </c>
      <c r="M208">
        <v>38515</v>
      </c>
      <c r="N208">
        <v>0.05</v>
      </c>
      <c r="O208">
        <v>192575</v>
      </c>
      <c r="P208">
        <v>9628.75</v>
      </c>
      <c r="Q208">
        <v>182946.25</v>
      </c>
      <c r="R208">
        <f>YEAR(Sales_Data[[#This Row],[Order_Date]])</f>
        <v>2025</v>
      </c>
      <c r="S208" t="str">
        <f>TEXT(Sales_Data[[#This Row],[Order_Date]],"mmmm")</f>
        <v>April</v>
      </c>
      <c r="T208">
        <f t="shared" si="3"/>
        <v>4</v>
      </c>
      <c r="U208" t="str">
        <f>"Q"&amp;ROUNDUP(MONTH(Sales_Data[[#This Row],[Order_Date]])/3,0)</f>
        <v>Q2</v>
      </c>
      <c r="V208" t="s">
        <v>32</v>
      </c>
      <c r="W208" t="s">
        <v>33</v>
      </c>
      <c r="X208" t="s">
        <v>45</v>
      </c>
      <c r="Y208">
        <v>7</v>
      </c>
      <c r="Z208">
        <v>18</v>
      </c>
      <c r="AA208">
        <v>3</v>
      </c>
      <c r="AB208" t="s">
        <v>77</v>
      </c>
      <c r="AC208" t="s">
        <v>47</v>
      </c>
      <c r="AD208">
        <v>2025</v>
      </c>
    </row>
    <row r="209" spans="1:30" x14ac:dyDescent="0.45">
      <c r="A209" t="s">
        <v>504</v>
      </c>
      <c r="B209" t="s">
        <v>505</v>
      </c>
      <c r="C209" t="str">
        <f>_xlfn.XLOOKUP(Sales_Data[[#This Row],[Product_ID]],Product_Master[Product_ID],Product_Master[Product],"Not Found")</f>
        <v>Soundproof Windows</v>
      </c>
      <c r="D209" s="3">
        <v>45877</v>
      </c>
      <c r="E209" t="s">
        <v>59</v>
      </c>
      <c r="F209" t="s">
        <v>60</v>
      </c>
      <c r="G209" t="s">
        <v>61</v>
      </c>
      <c r="H209" t="s">
        <v>28</v>
      </c>
      <c r="I209" t="s">
        <v>29</v>
      </c>
      <c r="J209" t="s">
        <v>30</v>
      </c>
      <c r="K209" t="s">
        <v>31</v>
      </c>
      <c r="L209">
        <v>3</v>
      </c>
      <c r="M209">
        <v>50707</v>
      </c>
      <c r="N209">
        <v>0.1</v>
      </c>
      <c r="O209">
        <v>152121</v>
      </c>
      <c r="P209">
        <v>15212.1</v>
      </c>
      <c r="Q209">
        <v>136908.9</v>
      </c>
      <c r="R209">
        <f>YEAR(Sales_Data[[#This Row],[Order_Date]])</f>
        <v>2025</v>
      </c>
      <c r="S209" t="str">
        <f>TEXT(Sales_Data[[#This Row],[Order_Date]],"mmmm")</f>
        <v>August</v>
      </c>
      <c r="T209">
        <f t="shared" si="3"/>
        <v>8</v>
      </c>
      <c r="U209" t="str">
        <f>"Q"&amp;ROUNDUP(MONTH(Sales_Data[[#This Row],[Order_Date]])/3,0)</f>
        <v>Q3</v>
      </c>
      <c r="V209" t="s">
        <v>44</v>
      </c>
      <c r="W209" t="s">
        <v>65</v>
      </c>
      <c r="X209" t="s">
        <v>45</v>
      </c>
      <c r="Y209">
        <v>2</v>
      </c>
      <c r="Z209">
        <v>11</v>
      </c>
      <c r="AA209">
        <v>4</v>
      </c>
      <c r="AB209" t="s">
        <v>123</v>
      </c>
      <c r="AC209" t="s">
        <v>90</v>
      </c>
      <c r="AD209">
        <v>2025</v>
      </c>
    </row>
    <row r="210" spans="1:30" x14ac:dyDescent="0.45">
      <c r="A210" t="s">
        <v>506</v>
      </c>
      <c r="B210" t="s">
        <v>507</v>
      </c>
      <c r="C210" t="str">
        <f>_xlfn.XLOOKUP(Sales_Data[[#This Row],[Product_ID]],Product_Master[Product_ID],Product_Master[Product],"Not Found")</f>
        <v>uPVC Windows</v>
      </c>
      <c r="D210" s="3">
        <v>45936</v>
      </c>
      <c r="E210" t="s">
        <v>59</v>
      </c>
      <c r="F210" t="s">
        <v>26</v>
      </c>
      <c r="G210" t="s">
        <v>27</v>
      </c>
      <c r="H210" t="s">
        <v>28</v>
      </c>
      <c r="I210" t="s">
        <v>62</v>
      </c>
      <c r="J210" t="s">
        <v>63</v>
      </c>
      <c r="K210" t="s">
        <v>31</v>
      </c>
      <c r="L210">
        <v>3</v>
      </c>
      <c r="M210">
        <v>19308</v>
      </c>
      <c r="N210">
        <v>0.1</v>
      </c>
      <c r="O210">
        <v>57924</v>
      </c>
      <c r="P210">
        <v>5792.4</v>
      </c>
      <c r="Q210">
        <v>52131.6</v>
      </c>
      <c r="R210">
        <f>YEAR(Sales_Data[[#This Row],[Order_Date]])</f>
        <v>2025</v>
      </c>
      <c r="S210" t="str">
        <f>TEXT(Sales_Data[[#This Row],[Order_Date]],"mmmm")</f>
        <v>October</v>
      </c>
      <c r="T210">
        <f t="shared" si="3"/>
        <v>10</v>
      </c>
      <c r="U210" t="str">
        <f>"Q"&amp;ROUNDUP(MONTH(Sales_Data[[#This Row],[Order_Date]])/3,0)</f>
        <v>Q4</v>
      </c>
      <c r="V210" t="s">
        <v>32</v>
      </c>
      <c r="W210" t="s">
        <v>33</v>
      </c>
      <c r="X210" t="s">
        <v>34</v>
      </c>
      <c r="Y210">
        <v>7</v>
      </c>
      <c r="Z210">
        <v>29</v>
      </c>
      <c r="AA210">
        <v>2</v>
      </c>
      <c r="AB210" t="s">
        <v>35</v>
      </c>
      <c r="AC210" t="s">
        <v>36</v>
      </c>
      <c r="AD210">
        <v>2025</v>
      </c>
    </row>
    <row r="211" spans="1:30" x14ac:dyDescent="0.45">
      <c r="A211" t="s">
        <v>508</v>
      </c>
      <c r="B211" t="s">
        <v>509</v>
      </c>
      <c r="C211" t="str">
        <f>_xlfn.XLOOKUP(Sales_Data[[#This Row],[Product_ID]],Product_Master[Product_ID],Product_Master[Product],"Not Found")</f>
        <v>uPVC Windows</v>
      </c>
      <c r="D211" s="3">
        <v>45805</v>
      </c>
      <c r="E211" t="s">
        <v>25</v>
      </c>
      <c r="F211" t="s">
        <v>70</v>
      </c>
      <c r="G211" t="s">
        <v>82</v>
      </c>
      <c r="H211" t="s">
        <v>51</v>
      </c>
      <c r="I211" t="s">
        <v>62</v>
      </c>
      <c r="J211" t="s">
        <v>63</v>
      </c>
      <c r="K211" t="s">
        <v>31</v>
      </c>
      <c r="L211">
        <v>6</v>
      </c>
      <c r="M211">
        <v>18978</v>
      </c>
      <c r="N211">
        <v>0.05</v>
      </c>
      <c r="O211">
        <v>113868</v>
      </c>
      <c r="P211">
        <v>5693.4</v>
      </c>
      <c r="Q211">
        <v>108174.6</v>
      </c>
      <c r="R211">
        <f>YEAR(Sales_Data[[#This Row],[Order_Date]])</f>
        <v>2025</v>
      </c>
      <c r="S211" t="str">
        <f>TEXT(Sales_Data[[#This Row],[Order_Date]],"mmmm")</f>
        <v>May</v>
      </c>
      <c r="T211">
        <f t="shared" si="3"/>
        <v>5</v>
      </c>
      <c r="U211" t="str">
        <f>"Q"&amp;ROUNDUP(MONTH(Sales_Data[[#This Row],[Order_Date]])/3,0)</f>
        <v>Q2</v>
      </c>
      <c r="V211" t="s">
        <v>32</v>
      </c>
      <c r="W211" t="s">
        <v>65</v>
      </c>
      <c r="X211" t="s">
        <v>45</v>
      </c>
      <c r="Y211">
        <v>7</v>
      </c>
      <c r="Z211">
        <v>29</v>
      </c>
      <c r="AA211">
        <v>5</v>
      </c>
      <c r="AB211" t="s">
        <v>72</v>
      </c>
      <c r="AC211" t="s">
        <v>47</v>
      </c>
      <c r="AD211">
        <v>2025</v>
      </c>
    </row>
    <row r="212" spans="1:30" x14ac:dyDescent="0.45">
      <c r="A212" t="s">
        <v>510</v>
      </c>
      <c r="B212" t="s">
        <v>511</v>
      </c>
      <c r="C212" t="str">
        <f>_xlfn.XLOOKUP(Sales_Data[[#This Row],[Product_ID]],Product_Master[Product_ID],Product_Master[Product],"Not Found")</f>
        <v>Casement Windows</v>
      </c>
      <c r="D212" s="3">
        <v>45970</v>
      </c>
      <c r="E212" t="s">
        <v>59</v>
      </c>
      <c r="F212" t="s">
        <v>70</v>
      </c>
      <c r="G212" t="s">
        <v>61</v>
      </c>
      <c r="H212" t="s">
        <v>119</v>
      </c>
      <c r="I212" t="s">
        <v>75</v>
      </c>
      <c r="J212" t="s">
        <v>76</v>
      </c>
      <c r="K212" t="s">
        <v>31</v>
      </c>
      <c r="L212">
        <v>3</v>
      </c>
      <c r="M212">
        <v>27106</v>
      </c>
      <c r="N212">
        <v>0.05</v>
      </c>
      <c r="O212">
        <v>81318</v>
      </c>
      <c r="P212">
        <v>4065.9</v>
      </c>
      <c r="Q212">
        <v>77252.100000000006</v>
      </c>
      <c r="R212">
        <f>YEAR(Sales_Data[[#This Row],[Order_Date]])</f>
        <v>2025</v>
      </c>
      <c r="S212" t="str">
        <f>TEXT(Sales_Data[[#This Row],[Order_Date]],"mmmm")</f>
        <v>November</v>
      </c>
      <c r="T212">
        <f t="shared" si="3"/>
        <v>11</v>
      </c>
      <c r="U212" t="str">
        <f>"Q"&amp;ROUNDUP(MONTH(Sales_Data[[#This Row],[Order_Date]])/3,0)</f>
        <v>Q4</v>
      </c>
      <c r="V212" t="s">
        <v>32</v>
      </c>
      <c r="W212" t="s">
        <v>65</v>
      </c>
      <c r="X212" t="s">
        <v>34</v>
      </c>
      <c r="Y212">
        <v>6</v>
      </c>
      <c r="Z212">
        <v>13</v>
      </c>
      <c r="AA212">
        <v>5</v>
      </c>
      <c r="AB212" t="s">
        <v>67</v>
      </c>
      <c r="AC212" t="s">
        <v>36</v>
      </c>
      <c r="AD212">
        <v>2025</v>
      </c>
    </row>
    <row r="213" spans="1:30" x14ac:dyDescent="0.45">
      <c r="A213" t="s">
        <v>512</v>
      </c>
      <c r="B213" t="s">
        <v>513</v>
      </c>
      <c r="C213" t="str">
        <f>_xlfn.XLOOKUP(Sales_Data[[#This Row],[Product_ID]],Product_Master[Product_ID],Product_Master[Product],"Not Found")</f>
        <v>uPVC Windows</v>
      </c>
      <c r="D213" s="3">
        <v>45944</v>
      </c>
      <c r="E213" t="s">
        <v>59</v>
      </c>
      <c r="F213" t="s">
        <v>39</v>
      </c>
      <c r="G213" t="s">
        <v>139</v>
      </c>
      <c r="H213" t="s">
        <v>83</v>
      </c>
      <c r="I213" t="s">
        <v>62</v>
      </c>
      <c r="J213" t="s">
        <v>63</v>
      </c>
      <c r="K213" t="s">
        <v>31</v>
      </c>
      <c r="L213">
        <v>5</v>
      </c>
      <c r="M213">
        <v>19507</v>
      </c>
      <c r="N213">
        <v>0.1</v>
      </c>
      <c r="O213">
        <v>97535</v>
      </c>
      <c r="P213">
        <v>9753.5</v>
      </c>
      <c r="Q213">
        <v>87781.5</v>
      </c>
      <c r="R213">
        <f>YEAR(Sales_Data[[#This Row],[Order_Date]])</f>
        <v>2025</v>
      </c>
      <c r="S213" t="str">
        <f>TEXT(Sales_Data[[#This Row],[Order_Date]],"mmmm")</f>
        <v>October</v>
      </c>
      <c r="T213">
        <f t="shared" si="3"/>
        <v>10</v>
      </c>
      <c r="U213" t="str">
        <f>"Q"&amp;ROUNDUP(MONTH(Sales_Data[[#This Row],[Order_Date]])/3,0)</f>
        <v>Q4</v>
      </c>
      <c r="V213" t="s">
        <v>32</v>
      </c>
      <c r="W213" t="s">
        <v>33</v>
      </c>
      <c r="X213" t="s">
        <v>34</v>
      </c>
      <c r="Y213">
        <v>1</v>
      </c>
      <c r="Z213">
        <v>6</v>
      </c>
      <c r="AA213">
        <v>4</v>
      </c>
      <c r="AB213" t="s">
        <v>35</v>
      </c>
      <c r="AC213" t="s">
        <v>36</v>
      </c>
      <c r="AD213">
        <v>2025</v>
      </c>
    </row>
    <row r="214" spans="1:30" x14ac:dyDescent="0.45">
      <c r="A214" t="s">
        <v>514</v>
      </c>
      <c r="B214" t="s">
        <v>515</v>
      </c>
      <c r="C214" t="str">
        <f>_xlfn.XLOOKUP(Sales_Data[[#This Row],[Product_ID]],Product_Master[Product_ID],Product_Master[Product],"Not Found")</f>
        <v>Soundproof Windows</v>
      </c>
      <c r="D214" s="3">
        <v>45898</v>
      </c>
      <c r="E214" t="s">
        <v>25</v>
      </c>
      <c r="F214" t="s">
        <v>39</v>
      </c>
      <c r="G214" t="s">
        <v>50</v>
      </c>
      <c r="H214" t="s">
        <v>71</v>
      </c>
      <c r="I214" t="s">
        <v>29</v>
      </c>
      <c r="J214" t="s">
        <v>30</v>
      </c>
      <c r="K214" t="s">
        <v>31</v>
      </c>
      <c r="L214">
        <v>4</v>
      </c>
      <c r="M214">
        <v>48088</v>
      </c>
      <c r="N214">
        <v>0.1</v>
      </c>
      <c r="O214">
        <v>192352</v>
      </c>
      <c r="P214">
        <v>19235.2</v>
      </c>
      <c r="Q214">
        <v>173116.79999999999</v>
      </c>
      <c r="R214">
        <f>YEAR(Sales_Data[[#This Row],[Order_Date]])</f>
        <v>2025</v>
      </c>
      <c r="S214" t="str">
        <f>TEXT(Sales_Data[[#This Row],[Order_Date]],"mmmm")</f>
        <v>August</v>
      </c>
      <c r="T214">
        <f t="shared" si="3"/>
        <v>8</v>
      </c>
      <c r="U214" t="str">
        <f>"Q"&amp;ROUNDUP(MONTH(Sales_Data[[#This Row],[Order_Date]])/3,0)</f>
        <v>Q3</v>
      </c>
      <c r="V214" t="s">
        <v>32</v>
      </c>
      <c r="W214" t="s">
        <v>54</v>
      </c>
      <c r="X214" t="s">
        <v>34</v>
      </c>
      <c r="Y214">
        <v>1</v>
      </c>
      <c r="Z214">
        <v>20</v>
      </c>
      <c r="AA214">
        <v>4</v>
      </c>
      <c r="AB214" t="s">
        <v>123</v>
      </c>
      <c r="AC214" t="s">
        <v>90</v>
      </c>
      <c r="AD214">
        <v>2025</v>
      </c>
    </row>
    <row r="215" spans="1:30" x14ac:dyDescent="0.45">
      <c r="A215" t="s">
        <v>516</v>
      </c>
      <c r="B215" t="s">
        <v>517</v>
      </c>
      <c r="C215" t="str">
        <f>_xlfn.XLOOKUP(Sales_Data[[#This Row],[Product_ID]],Product_Master[Product_ID],Product_Master[Product],"Not Found")</f>
        <v>Sliding Doors</v>
      </c>
      <c r="D215" s="3">
        <v>45868</v>
      </c>
      <c r="E215" t="s">
        <v>59</v>
      </c>
      <c r="F215" t="s">
        <v>26</v>
      </c>
      <c r="G215" t="s">
        <v>40</v>
      </c>
      <c r="H215" t="s">
        <v>71</v>
      </c>
      <c r="I215" t="s">
        <v>101</v>
      </c>
      <c r="J215" t="s">
        <v>102</v>
      </c>
      <c r="K215" t="s">
        <v>43</v>
      </c>
      <c r="L215">
        <v>1</v>
      </c>
      <c r="M215">
        <v>38061</v>
      </c>
      <c r="N215">
        <v>0.15</v>
      </c>
      <c r="O215">
        <v>38061</v>
      </c>
      <c r="P215">
        <v>5709.15</v>
      </c>
      <c r="Q215">
        <v>32351.85</v>
      </c>
      <c r="R215">
        <f>YEAR(Sales_Data[[#This Row],[Order_Date]])</f>
        <v>2025</v>
      </c>
      <c r="S215" t="str">
        <f>TEXT(Sales_Data[[#This Row],[Order_Date]],"mmmm")</f>
        <v>July</v>
      </c>
      <c r="T215">
        <f t="shared" si="3"/>
        <v>7</v>
      </c>
      <c r="U215" t="str">
        <f>"Q"&amp;ROUNDUP(MONTH(Sales_Data[[#This Row],[Order_Date]])/3,0)</f>
        <v>Q3</v>
      </c>
      <c r="V215" t="s">
        <v>32</v>
      </c>
      <c r="W215" t="s">
        <v>33</v>
      </c>
      <c r="X215" t="s">
        <v>45</v>
      </c>
      <c r="Y215">
        <v>2</v>
      </c>
      <c r="Z215">
        <v>29</v>
      </c>
      <c r="AA215">
        <v>4</v>
      </c>
      <c r="AB215" t="s">
        <v>155</v>
      </c>
      <c r="AC215" t="s">
        <v>90</v>
      </c>
      <c r="AD215">
        <v>2025</v>
      </c>
    </row>
    <row r="216" spans="1:30" x14ac:dyDescent="0.45">
      <c r="A216" t="s">
        <v>518</v>
      </c>
      <c r="B216" t="s">
        <v>519</v>
      </c>
      <c r="C216" t="str">
        <f>_xlfn.XLOOKUP(Sales_Data[[#This Row],[Product_ID]],Product_Master[Product_ID],Product_Master[Product],"Not Found")</f>
        <v>Bi-Fold Doors</v>
      </c>
      <c r="D216" s="3">
        <v>45678</v>
      </c>
      <c r="E216" t="s">
        <v>59</v>
      </c>
      <c r="F216" t="s">
        <v>70</v>
      </c>
      <c r="G216" t="s">
        <v>139</v>
      </c>
      <c r="H216" t="s">
        <v>51</v>
      </c>
      <c r="I216" t="s">
        <v>41</v>
      </c>
      <c r="J216" t="s">
        <v>42</v>
      </c>
      <c r="K216" t="s">
        <v>43</v>
      </c>
      <c r="L216">
        <v>2</v>
      </c>
      <c r="M216">
        <v>50426</v>
      </c>
      <c r="N216">
        <v>0.15</v>
      </c>
      <c r="O216">
        <v>100852</v>
      </c>
      <c r="P216">
        <v>15127.8</v>
      </c>
      <c r="Q216">
        <v>85724.2</v>
      </c>
      <c r="R216">
        <f>YEAR(Sales_Data[[#This Row],[Order_Date]])</f>
        <v>2025</v>
      </c>
      <c r="S216" t="str">
        <f>TEXT(Sales_Data[[#This Row],[Order_Date]],"mmmm")</f>
        <v>January</v>
      </c>
      <c r="T216">
        <f t="shared" si="3"/>
        <v>1</v>
      </c>
      <c r="U216" t="str">
        <f>"Q"&amp;ROUNDUP(MONTH(Sales_Data[[#This Row],[Order_Date]])/3,0)</f>
        <v>Q1</v>
      </c>
      <c r="V216" t="s">
        <v>64</v>
      </c>
      <c r="W216" t="s">
        <v>65</v>
      </c>
      <c r="X216" t="s">
        <v>34</v>
      </c>
      <c r="Y216">
        <v>4</v>
      </c>
      <c r="Z216">
        <v>13</v>
      </c>
      <c r="AA216">
        <v>5</v>
      </c>
      <c r="AB216" t="s">
        <v>144</v>
      </c>
      <c r="AC216" t="s">
        <v>56</v>
      </c>
      <c r="AD216">
        <v>2025</v>
      </c>
    </row>
    <row r="217" spans="1:30" x14ac:dyDescent="0.45">
      <c r="A217" t="s">
        <v>520</v>
      </c>
      <c r="B217" t="s">
        <v>521</v>
      </c>
      <c r="C217" t="str">
        <f>_xlfn.XLOOKUP(Sales_Data[[#This Row],[Product_ID]],Product_Master[Product_ID],Product_Master[Product],"Not Found")</f>
        <v>Casement Windows</v>
      </c>
      <c r="D217" s="3">
        <v>45670</v>
      </c>
      <c r="E217" t="s">
        <v>59</v>
      </c>
      <c r="F217" t="s">
        <v>39</v>
      </c>
      <c r="G217" t="s">
        <v>61</v>
      </c>
      <c r="H217" t="s">
        <v>119</v>
      </c>
      <c r="I217" t="s">
        <v>75</v>
      </c>
      <c r="J217" t="s">
        <v>76</v>
      </c>
      <c r="K217" t="s">
        <v>31</v>
      </c>
      <c r="L217">
        <v>4</v>
      </c>
      <c r="M217">
        <v>29880</v>
      </c>
      <c r="N217">
        <v>0.1</v>
      </c>
      <c r="O217">
        <v>119520</v>
      </c>
      <c r="P217">
        <v>11952</v>
      </c>
      <c r="Q217">
        <v>107568</v>
      </c>
      <c r="R217">
        <f>YEAR(Sales_Data[[#This Row],[Order_Date]])</f>
        <v>2025</v>
      </c>
      <c r="S217" t="str">
        <f>TEXT(Sales_Data[[#This Row],[Order_Date]],"mmmm")</f>
        <v>January</v>
      </c>
      <c r="T217">
        <f t="shared" si="3"/>
        <v>1</v>
      </c>
      <c r="U217" t="str">
        <f>"Q"&amp;ROUNDUP(MONTH(Sales_Data[[#This Row],[Order_Date]])/3,0)</f>
        <v>Q1</v>
      </c>
      <c r="V217" t="s">
        <v>32</v>
      </c>
      <c r="W217" t="s">
        <v>33</v>
      </c>
      <c r="X217" t="s">
        <v>66</v>
      </c>
      <c r="Y217">
        <v>5</v>
      </c>
      <c r="Z217">
        <v>15</v>
      </c>
      <c r="AA217">
        <v>3</v>
      </c>
      <c r="AB217" t="s">
        <v>144</v>
      </c>
      <c r="AC217" t="s">
        <v>56</v>
      </c>
      <c r="AD217">
        <v>2025</v>
      </c>
    </row>
    <row r="218" spans="1:30" x14ac:dyDescent="0.45">
      <c r="A218" t="s">
        <v>522</v>
      </c>
      <c r="B218" t="s">
        <v>523</v>
      </c>
      <c r="C218" t="str">
        <f>_xlfn.XLOOKUP(Sales_Data[[#This Row],[Product_ID]],Product_Master[Product_ID],Product_Master[Product],"Not Found")</f>
        <v>Casement Windows</v>
      </c>
      <c r="D218" s="3">
        <v>45955</v>
      </c>
      <c r="E218" t="s">
        <v>59</v>
      </c>
      <c r="F218" t="s">
        <v>26</v>
      </c>
      <c r="G218" t="s">
        <v>50</v>
      </c>
      <c r="H218" t="s">
        <v>71</v>
      </c>
      <c r="I218" t="s">
        <v>75</v>
      </c>
      <c r="J218" t="s">
        <v>76</v>
      </c>
      <c r="K218" t="s">
        <v>31</v>
      </c>
      <c r="L218">
        <v>5</v>
      </c>
      <c r="M218">
        <v>24761</v>
      </c>
      <c r="N218">
        <v>0.05</v>
      </c>
      <c r="O218">
        <v>123805</v>
      </c>
      <c r="P218">
        <v>6190.25</v>
      </c>
      <c r="Q218">
        <v>117614.75</v>
      </c>
      <c r="R218">
        <f>YEAR(Sales_Data[[#This Row],[Order_Date]])</f>
        <v>2025</v>
      </c>
      <c r="S218" t="str">
        <f>TEXT(Sales_Data[[#This Row],[Order_Date]],"mmmm")</f>
        <v>October</v>
      </c>
      <c r="T218">
        <f t="shared" si="3"/>
        <v>10</v>
      </c>
      <c r="U218" t="str">
        <f>"Q"&amp;ROUNDUP(MONTH(Sales_Data[[#This Row],[Order_Date]])/3,0)</f>
        <v>Q4</v>
      </c>
      <c r="V218" t="s">
        <v>64</v>
      </c>
      <c r="W218" t="s">
        <v>33</v>
      </c>
      <c r="X218" t="s">
        <v>45</v>
      </c>
      <c r="Y218">
        <v>7</v>
      </c>
      <c r="Z218">
        <v>11</v>
      </c>
      <c r="AA218">
        <v>5</v>
      </c>
      <c r="AB218" t="s">
        <v>35</v>
      </c>
      <c r="AC218" t="s">
        <v>36</v>
      </c>
      <c r="AD218">
        <v>2025</v>
      </c>
    </row>
    <row r="219" spans="1:30" x14ac:dyDescent="0.45">
      <c r="A219" t="s">
        <v>524</v>
      </c>
      <c r="B219" t="s">
        <v>525</v>
      </c>
      <c r="C219" t="str">
        <f>_xlfn.XLOOKUP(Sales_Data[[#This Row],[Product_ID]],Product_Master[Product_ID],Product_Master[Product],"Not Found")</f>
        <v>uPVC Doors</v>
      </c>
      <c r="D219" s="3">
        <v>45998</v>
      </c>
      <c r="E219" t="s">
        <v>59</v>
      </c>
      <c r="F219" t="s">
        <v>70</v>
      </c>
      <c r="G219" t="s">
        <v>116</v>
      </c>
      <c r="H219" t="s">
        <v>88</v>
      </c>
      <c r="I219" t="s">
        <v>107</v>
      </c>
      <c r="J219" t="s">
        <v>108</v>
      </c>
      <c r="K219" t="s">
        <v>43</v>
      </c>
      <c r="L219">
        <v>5</v>
      </c>
      <c r="M219">
        <v>29275</v>
      </c>
      <c r="N219">
        <v>0.15</v>
      </c>
      <c r="O219">
        <v>146375</v>
      </c>
      <c r="P219">
        <v>21956.25</v>
      </c>
      <c r="Q219">
        <v>124418.75</v>
      </c>
      <c r="R219">
        <f>YEAR(Sales_Data[[#This Row],[Order_Date]])</f>
        <v>2025</v>
      </c>
      <c r="S219" t="str">
        <f>TEXT(Sales_Data[[#This Row],[Order_Date]],"mmmm")</f>
        <v>December</v>
      </c>
      <c r="T219">
        <f t="shared" si="3"/>
        <v>12</v>
      </c>
      <c r="U219" t="str">
        <f>"Q"&amp;ROUNDUP(MONTH(Sales_Data[[#This Row],[Order_Date]])/3,0)</f>
        <v>Q4</v>
      </c>
      <c r="V219" t="s">
        <v>122</v>
      </c>
      <c r="W219" t="s">
        <v>33</v>
      </c>
      <c r="X219" t="s">
        <v>45</v>
      </c>
      <c r="Y219">
        <v>2</v>
      </c>
      <c r="Z219">
        <v>29</v>
      </c>
      <c r="AA219">
        <v>5</v>
      </c>
      <c r="AB219" t="s">
        <v>113</v>
      </c>
      <c r="AC219" t="s">
        <v>36</v>
      </c>
      <c r="AD219">
        <v>2025</v>
      </c>
    </row>
    <row r="220" spans="1:30" x14ac:dyDescent="0.45">
      <c r="A220" t="s">
        <v>526</v>
      </c>
      <c r="B220" t="s">
        <v>527</v>
      </c>
      <c r="C220" t="str">
        <f>_xlfn.XLOOKUP(Sales_Data[[#This Row],[Product_ID]],Product_Master[Product_ID],Product_Master[Product],"Not Found")</f>
        <v>uPVC Doors</v>
      </c>
      <c r="D220" s="3">
        <v>45877</v>
      </c>
      <c r="E220" t="s">
        <v>59</v>
      </c>
      <c r="F220" t="s">
        <v>26</v>
      </c>
      <c r="G220" t="s">
        <v>40</v>
      </c>
      <c r="H220" t="s">
        <v>112</v>
      </c>
      <c r="I220" t="s">
        <v>107</v>
      </c>
      <c r="J220" t="s">
        <v>108</v>
      </c>
      <c r="K220" t="s">
        <v>43</v>
      </c>
      <c r="L220">
        <v>2</v>
      </c>
      <c r="M220">
        <v>32445</v>
      </c>
      <c r="N220">
        <v>0.05</v>
      </c>
      <c r="O220">
        <v>64890</v>
      </c>
      <c r="P220">
        <v>3244.5</v>
      </c>
      <c r="Q220">
        <v>61645.5</v>
      </c>
      <c r="R220">
        <f>YEAR(Sales_Data[[#This Row],[Order_Date]])</f>
        <v>2025</v>
      </c>
      <c r="S220" t="str">
        <f>TEXT(Sales_Data[[#This Row],[Order_Date]],"mmmm")</f>
        <v>August</v>
      </c>
      <c r="T220">
        <f t="shared" si="3"/>
        <v>8</v>
      </c>
      <c r="U220" t="str">
        <f>"Q"&amp;ROUNDUP(MONTH(Sales_Data[[#This Row],[Order_Date]])/3,0)</f>
        <v>Q3</v>
      </c>
      <c r="V220" t="s">
        <v>32</v>
      </c>
      <c r="W220" t="s">
        <v>65</v>
      </c>
      <c r="X220" t="s">
        <v>45</v>
      </c>
      <c r="Y220">
        <v>4</v>
      </c>
      <c r="Z220">
        <v>23</v>
      </c>
      <c r="AA220">
        <v>4</v>
      </c>
      <c r="AB220" t="s">
        <v>123</v>
      </c>
      <c r="AC220" t="s">
        <v>90</v>
      </c>
      <c r="AD220">
        <v>2025</v>
      </c>
    </row>
    <row r="221" spans="1:30" x14ac:dyDescent="0.45">
      <c r="A221" t="s">
        <v>528</v>
      </c>
      <c r="B221" t="s">
        <v>529</v>
      </c>
      <c r="C221" t="str">
        <f>_xlfn.XLOOKUP(Sales_Data[[#This Row],[Product_ID]],Product_Master[Product_ID],Product_Master[Product],"Not Found")</f>
        <v>Soundproof Windows</v>
      </c>
      <c r="D221" s="3">
        <v>45872</v>
      </c>
      <c r="E221" t="s">
        <v>59</v>
      </c>
      <c r="F221" t="s">
        <v>60</v>
      </c>
      <c r="G221" t="s">
        <v>61</v>
      </c>
      <c r="H221" t="s">
        <v>119</v>
      </c>
      <c r="I221" t="s">
        <v>29</v>
      </c>
      <c r="J221" t="s">
        <v>30</v>
      </c>
      <c r="K221" t="s">
        <v>31</v>
      </c>
      <c r="L221">
        <v>6</v>
      </c>
      <c r="M221">
        <v>51390</v>
      </c>
      <c r="N221">
        <v>0.05</v>
      </c>
      <c r="O221">
        <v>308340</v>
      </c>
      <c r="P221">
        <v>15417</v>
      </c>
      <c r="Q221">
        <v>292923</v>
      </c>
      <c r="R221">
        <f>YEAR(Sales_Data[[#This Row],[Order_Date]])</f>
        <v>2025</v>
      </c>
      <c r="S221" t="str">
        <f>TEXT(Sales_Data[[#This Row],[Order_Date]],"mmmm")</f>
        <v>August</v>
      </c>
      <c r="T221">
        <f t="shared" si="3"/>
        <v>8</v>
      </c>
      <c r="U221" t="str">
        <f>"Q"&amp;ROUNDUP(MONTH(Sales_Data[[#This Row],[Order_Date]])/3,0)</f>
        <v>Q3</v>
      </c>
      <c r="V221" t="s">
        <v>44</v>
      </c>
      <c r="W221" t="s">
        <v>33</v>
      </c>
      <c r="X221" t="s">
        <v>45</v>
      </c>
      <c r="Y221">
        <v>3</v>
      </c>
      <c r="Z221">
        <v>15</v>
      </c>
      <c r="AA221">
        <v>5</v>
      </c>
      <c r="AB221" t="s">
        <v>123</v>
      </c>
      <c r="AC221" t="s">
        <v>90</v>
      </c>
      <c r="AD221">
        <v>2025</v>
      </c>
    </row>
    <row r="222" spans="1:30" x14ac:dyDescent="0.45">
      <c r="A222" t="s">
        <v>530</v>
      </c>
      <c r="B222" t="s">
        <v>531</v>
      </c>
      <c r="C222" t="str">
        <f>_xlfn.XLOOKUP(Sales_Data[[#This Row],[Product_ID]],Product_Master[Product_ID],Product_Master[Product],"Not Found")</f>
        <v>Sliding Doors</v>
      </c>
      <c r="D222" s="3">
        <v>45955</v>
      </c>
      <c r="E222" t="s">
        <v>59</v>
      </c>
      <c r="F222" t="s">
        <v>39</v>
      </c>
      <c r="G222" t="s">
        <v>40</v>
      </c>
      <c r="H222" t="s">
        <v>88</v>
      </c>
      <c r="I222" t="s">
        <v>101</v>
      </c>
      <c r="J222" t="s">
        <v>102</v>
      </c>
      <c r="K222" t="s">
        <v>43</v>
      </c>
      <c r="L222">
        <v>5</v>
      </c>
      <c r="M222">
        <v>37065</v>
      </c>
      <c r="N222">
        <v>0.05</v>
      </c>
      <c r="O222">
        <v>185325</v>
      </c>
      <c r="P222">
        <v>9266.25</v>
      </c>
      <c r="Q222">
        <v>176058.75</v>
      </c>
      <c r="R222">
        <f>YEAR(Sales_Data[[#This Row],[Order_Date]])</f>
        <v>2025</v>
      </c>
      <c r="S222" t="str">
        <f>TEXT(Sales_Data[[#This Row],[Order_Date]],"mmmm")</f>
        <v>October</v>
      </c>
      <c r="T222">
        <f t="shared" si="3"/>
        <v>10</v>
      </c>
      <c r="U222" t="str">
        <f>"Q"&amp;ROUNDUP(MONTH(Sales_Data[[#This Row],[Order_Date]])/3,0)</f>
        <v>Q4</v>
      </c>
      <c r="V222" t="s">
        <v>32</v>
      </c>
      <c r="W222" t="s">
        <v>65</v>
      </c>
      <c r="X222" t="s">
        <v>93</v>
      </c>
      <c r="Y222">
        <v>3</v>
      </c>
      <c r="Z222">
        <v>24</v>
      </c>
      <c r="AA222">
        <v>5</v>
      </c>
      <c r="AB222" t="s">
        <v>35</v>
      </c>
      <c r="AC222" t="s">
        <v>36</v>
      </c>
      <c r="AD222">
        <v>2025</v>
      </c>
    </row>
    <row r="223" spans="1:30" x14ac:dyDescent="0.45">
      <c r="A223" t="s">
        <v>532</v>
      </c>
      <c r="B223" t="s">
        <v>533</v>
      </c>
      <c r="C223" t="str">
        <f>_xlfn.XLOOKUP(Sales_Data[[#This Row],[Product_ID]],Product_Master[Product_ID],Product_Master[Product],"Not Found")</f>
        <v>Sliding Doors</v>
      </c>
      <c r="D223" s="3">
        <v>45773</v>
      </c>
      <c r="E223" t="s">
        <v>59</v>
      </c>
      <c r="F223" t="s">
        <v>70</v>
      </c>
      <c r="G223" t="s">
        <v>116</v>
      </c>
      <c r="H223" t="s">
        <v>83</v>
      </c>
      <c r="I223" t="s">
        <v>101</v>
      </c>
      <c r="J223" t="s">
        <v>102</v>
      </c>
      <c r="K223" t="s">
        <v>43</v>
      </c>
      <c r="L223">
        <v>6</v>
      </c>
      <c r="M223">
        <v>37371</v>
      </c>
      <c r="N223">
        <v>0.1</v>
      </c>
      <c r="O223">
        <v>224226</v>
      </c>
      <c r="P223">
        <v>22422.6</v>
      </c>
      <c r="Q223">
        <v>201803.4</v>
      </c>
      <c r="R223">
        <f>YEAR(Sales_Data[[#This Row],[Order_Date]])</f>
        <v>2025</v>
      </c>
      <c r="S223" t="str">
        <f>TEXT(Sales_Data[[#This Row],[Order_Date]],"mmmm")</f>
        <v>April</v>
      </c>
      <c r="T223">
        <f t="shared" si="3"/>
        <v>4</v>
      </c>
      <c r="U223" t="str">
        <f>"Q"&amp;ROUNDUP(MONTH(Sales_Data[[#This Row],[Order_Date]])/3,0)</f>
        <v>Q2</v>
      </c>
      <c r="V223" t="s">
        <v>64</v>
      </c>
      <c r="W223" t="s">
        <v>33</v>
      </c>
      <c r="X223" t="s">
        <v>45</v>
      </c>
      <c r="Y223">
        <v>6</v>
      </c>
      <c r="Z223">
        <v>22</v>
      </c>
      <c r="AA223">
        <v>2</v>
      </c>
      <c r="AB223" t="s">
        <v>77</v>
      </c>
      <c r="AC223" t="s">
        <v>47</v>
      </c>
      <c r="AD223">
        <v>2025</v>
      </c>
    </row>
    <row r="224" spans="1:30" x14ac:dyDescent="0.45">
      <c r="A224" t="s">
        <v>534</v>
      </c>
      <c r="B224" t="s">
        <v>535</v>
      </c>
      <c r="C224" t="str">
        <f>_xlfn.XLOOKUP(Sales_Data[[#This Row],[Product_ID]],Product_Master[Product_ID],Product_Master[Product],"Not Found")</f>
        <v>Bi-Fold Doors</v>
      </c>
      <c r="D224" s="3">
        <v>45684</v>
      </c>
      <c r="E224" t="s">
        <v>59</v>
      </c>
      <c r="F224" t="s">
        <v>60</v>
      </c>
      <c r="G224" t="s">
        <v>139</v>
      </c>
      <c r="H224" t="s">
        <v>28</v>
      </c>
      <c r="I224" t="s">
        <v>41</v>
      </c>
      <c r="J224" t="s">
        <v>42</v>
      </c>
      <c r="K224" t="s">
        <v>43</v>
      </c>
      <c r="L224">
        <v>2</v>
      </c>
      <c r="M224">
        <v>58181</v>
      </c>
      <c r="N224">
        <v>0.05</v>
      </c>
      <c r="O224">
        <v>116362</v>
      </c>
      <c r="P224">
        <v>5818.1</v>
      </c>
      <c r="Q224">
        <v>110543.9</v>
      </c>
      <c r="R224">
        <f>YEAR(Sales_Data[[#This Row],[Order_Date]])</f>
        <v>2025</v>
      </c>
      <c r="S224" t="str">
        <f>TEXT(Sales_Data[[#This Row],[Order_Date]],"mmmm")</f>
        <v>January</v>
      </c>
      <c r="T224">
        <f t="shared" si="3"/>
        <v>1</v>
      </c>
      <c r="U224" t="str">
        <f>"Q"&amp;ROUNDUP(MONTH(Sales_Data[[#This Row],[Order_Date]])/3,0)</f>
        <v>Q1</v>
      </c>
      <c r="V224" t="s">
        <v>32</v>
      </c>
      <c r="W224" t="s">
        <v>65</v>
      </c>
      <c r="X224" t="s">
        <v>45</v>
      </c>
      <c r="Y224">
        <v>6</v>
      </c>
      <c r="Z224">
        <v>24</v>
      </c>
      <c r="AA224">
        <v>4</v>
      </c>
      <c r="AB224" t="s">
        <v>144</v>
      </c>
      <c r="AC224" t="s">
        <v>56</v>
      </c>
      <c r="AD224">
        <v>2025</v>
      </c>
    </row>
    <row r="225" spans="1:30" x14ac:dyDescent="0.45">
      <c r="A225" t="s">
        <v>536</v>
      </c>
      <c r="B225" t="s">
        <v>537</v>
      </c>
      <c r="C225" t="str">
        <f>_xlfn.XLOOKUP(Sales_Data[[#This Row],[Product_ID]],Product_Master[Product_ID],Product_Master[Product],"Not Found")</f>
        <v>uPVC Windows</v>
      </c>
      <c r="D225" s="3">
        <v>45691</v>
      </c>
      <c r="E225" t="s">
        <v>59</v>
      </c>
      <c r="F225" t="s">
        <v>26</v>
      </c>
      <c r="G225" t="s">
        <v>111</v>
      </c>
      <c r="H225" t="s">
        <v>112</v>
      </c>
      <c r="I225" t="s">
        <v>62</v>
      </c>
      <c r="J225" t="s">
        <v>63</v>
      </c>
      <c r="K225" t="s">
        <v>31</v>
      </c>
      <c r="L225">
        <v>6</v>
      </c>
      <c r="M225">
        <v>17350</v>
      </c>
      <c r="N225">
        <v>0.1</v>
      </c>
      <c r="O225">
        <v>104100</v>
      </c>
      <c r="P225">
        <v>10410</v>
      </c>
      <c r="Q225">
        <v>93690</v>
      </c>
      <c r="R225">
        <f>YEAR(Sales_Data[[#This Row],[Order_Date]])</f>
        <v>2025</v>
      </c>
      <c r="S225" t="str">
        <f>TEXT(Sales_Data[[#This Row],[Order_Date]],"mmmm")</f>
        <v>February</v>
      </c>
      <c r="T225">
        <f t="shared" si="3"/>
        <v>2</v>
      </c>
      <c r="U225" t="str">
        <f>"Q"&amp;ROUNDUP(MONTH(Sales_Data[[#This Row],[Order_Date]])/3,0)</f>
        <v>Q1</v>
      </c>
      <c r="V225" t="s">
        <v>32</v>
      </c>
      <c r="W225" t="s">
        <v>33</v>
      </c>
      <c r="X225" t="s">
        <v>45</v>
      </c>
      <c r="Y225">
        <v>1</v>
      </c>
      <c r="Z225">
        <v>10</v>
      </c>
      <c r="AA225">
        <v>2</v>
      </c>
      <c r="AB225" t="s">
        <v>55</v>
      </c>
      <c r="AC225" t="s">
        <v>56</v>
      </c>
      <c r="AD225">
        <v>2025</v>
      </c>
    </row>
    <row r="226" spans="1:30" x14ac:dyDescent="0.45">
      <c r="A226" t="s">
        <v>538</v>
      </c>
      <c r="B226" t="s">
        <v>539</v>
      </c>
      <c r="C226" t="str">
        <f>_xlfn.XLOOKUP(Sales_Data[[#This Row],[Product_ID]],Product_Master[Product_ID],Product_Master[Product],"Not Found")</f>
        <v>Sliding Doors</v>
      </c>
      <c r="D226" s="3">
        <v>45967</v>
      </c>
      <c r="E226" t="s">
        <v>25</v>
      </c>
      <c r="F226" t="s">
        <v>60</v>
      </c>
      <c r="G226" t="s">
        <v>82</v>
      </c>
      <c r="H226" t="s">
        <v>83</v>
      </c>
      <c r="I226" t="s">
        <v>101</v>
      </c>
      <c r="J226" t="s">
        <v>102</v>
      </c>
      <c r="K226" t="s">
        <v>43</v>
      </c>
      <c r="L226">
        <v>2</v>
      </c>
      <c r="M226">
        <v>32141</v>
      </c>
      <c r="N226">
        <v>0.1</v>
      </c>
      <c r="O226">
        <v>64282</v>
      </c>
      <c r="P226">
        <v>6428.2</v>
      </c>
      <c r="Q226">
        <v>57853.8</v>
      </c>
      <c r="R226">
        <f>YEAR(Sales_Data[[#This Row],[Order_Date]])</f>
        <v>2025</v>
      </c>
      <c r="S226" t="str">
        <f>TEXT(Sales_Data[[#This Row],[Order_Date]],"mmmm")</f>
        <v>November</v>
      </c>
      <c r="T226">
        <f t="shared" si="3"/>
        <v>11</v>
      </c>
      <c r="U226" t="str">
        <f>"Q"&amp;ROUNDUP(MONTH(Sales_Data[[#This Row],[Order_Date]])/3,0)</f>
        <v>Q4</v>
      </c>
      <c r="V226" t="s">
        <v>32</v>
      </c>
      <c r="W226" t="s">
        <v>65</v>
      </c>
      <c r="X226" t="s">
        <v>45</v>
      </c>
      <c r="Y226">
        <v>2</v>
      </c>
      <c r="Z226">
        <v>30</v>
      </c>
      <c r="AA226">
        <v>5</v>
      </c>
      <c r="AB226" t="s">
        <v>67</v>
      </c>
      <c r="AC226" t="s">
        <v>36</v>
      </c>
      <c r="AD226">
        <v>2025</v>
      </c>
    </row>
    <row r="227" spans="1:30" x14ac:dyDescent="0.45">
      <c r="A227" t="s">
        <v>540</v>
      </c>
      <c r="B227" t="s">
        <v>541</v>
      </c>
      <c r="C227" t="str">
        <f>_xlfn.XLOOKUP(Sales_Data[[#This Row],[Product_ID]],Product_Master[Product_ID],Product_Master[Product],"Not Found")</f>
        <v>Sliding Doors</v>
      </c>
      <c r="D227" s="3">
        <v>45930</v>
      </c>
      <c r="E227" t="s">
        <v>59</v>
      </c>
      <c r="F227" t="s">
        <v>26</v>
      </c>
      <c r="G227" t="s">
        <v>27</v>
      </c>
      <c r="H227" t="s">
        <v>112</v>
      </c>
      <c r="I227" t="s">
        <v>101</v>
      </c>
      <c r="J227" t="s">
        <v>102</v>
      </c>
      <c r="K227" t="s">
        <v>43</v>
      </c>
      <c r="L227">
        <v>2</v>
      </c>
      <c r="M227">
        <v>31903</v>
      </c>
      <c r="N227">
        <v>0.2</v>
      </c>
      <c r="O227">
        <v>63806</v>
      </c>
      <c r="P227">
        <v>12761.2</v>
      </c>
      <c r="Q227">
        <v>51044.800000000003</v>
      </c>
      <c r="R227">
        <f>YEAR(Sales_Data[[#This Row],[Order_Date]])</f>
        <v>2025</v>
      </c>
      <c r="S227" t="str">
        <f>TEXT(Sales_Data[[#This Row],[Order_Date]],"mmmm")</f>
        <v>September</v>
      </c>
      <c r="T227">
        <f t="shared" si="3"/>
        <v>9</v>
      </c>
      <c r="U227" t="str">
        <f>"Q"&amp;ROUNDUP(MONTH(Sales_Data[[#This Row],[Order_Date]])/3,0)</f>
        <v>Q3</v>
      </c>
      <c r="V227" t="s">
        <v>32</v>
      </c>
      <c r="W227" t="s">
        <v>54</v>
      </c>
      <c r="X227" t="s">
        <v>45</v>
      </c>
      <c r="Y227">
        <v>3</v>
      </c>
      <c r="Z227">
        <v>13</v>
      </c>
      <c r="AA227">
        <v>4</v>
      </c>
      <c r="AB227" t="s">
        <v>89</v>
      </c>
      <c r="AC227" t="s">
        <v>90</v>
      </c>
      <c r="AD227">
        <v>2025</v>
      </c>
    </row>
    <row r="228" spans="1:30" x14ac:dyDescent="0.45">
      <c r="A228" t="s">
        <v>542</v>
      </c>
      <c r="B228" t="s">
        <v>543</v>
      </c>
      <c r="C228" t="str">
        <f>_xlfn.XLOOKUP(Sales_Data[[#This Row],[Product_ID]],Product_Master[Product_ID],Product_Master[Product],"Not Found")</f>
        <v>uPVC Windows</v>
      </c>
      <c r="D228" s="3">
        <v>45854</v>
      </c>
      <c r="E228" t="s">
        <v>25</v>
      </c>
      <c r="F228" t="s">
        <v>60</v>
      </c>
      <c r="G228" t="s">
        <v>61</v>
      </c>
      <c r="H228" t="s">
        <v>112</v>
      </c>
      <c r="I228" t="s">
        <v>62</v>
      </c>
      <c r="J228" t="s">
        <v>63</v>
      </c>
      <c r="K228" t="s">
        <v>31</v>
      </c>
      <c r="L228">
        <v>2</v>
      </c>
      <c r="M228">
        <v>17188</v>
      </c>
      <c r="N228">
        <v>0</v>
      </c>
      <c r="O228">
        <v>34376</v>
      </c>
      <c r="P228">
        <v>0</v>
      </c>
      <c r="Q228">
        <v>34376</v>
      </c>
      <c r="R228">
        <f>YEAR(Sales_Data[[#This Row],[Order_Date]])</f>
        <v>2025</v>
      </c>
      <c r="S228" t="str">
        <f>TEXT(Sales_Data[[#This Row],[Order_Date]],"mmmm")</f>
        <v>July</v>
      </c>
      <c r="T228">
        <f t="shared" si="3"/>
        <v>7</v>
      </c>
      <c r="U228" t="str">
        <f>"Q"&amp;ROUNDUP(MONTH(Sales_Data[[#This Row],[Order_Date]])/3,0)</f>
        <v>Q3</v>
      </c>
      <c r="V228" t="s">
        <v>64</v>
      </c>
      <c r="W228" t="s">
        <v>33</v>
      </c>
      <c r="X228" t="s">
        <v>45</v>
      </c>
      <c r="Y228">
        <v>6</v>
      </c>
      <c r="Z228">
        <v>5</v>
      </c>
      <c r="AA228">
        <v>5</v>
      </c>
      <c r="AB228" t="s">
        <v>155</v>
      </c>
      <c r="AC228" t="s">
        <v>90</v>
      </c>
      <c r="AD228">
        <v>2025</v>
      </c>
    </row>
    <row r="229" spans="1:30" x14ac:dyDescent="0.45">
      <c r="A229" t="s">
        <v>544</v>
      </c>
      <c r="B229" t="s">
        <v>545</v>
      </c>
      <c r="C229" t="str">
        <f>_xlfn.XLOOKUP(Sales_Data[[#This Row],[Product_ID]],Product_Master[Product_ID],Product_Master[Product],"Not Found")</f>
        <v>French Doors</v>
      </c>
      <c r="D229" s="3">
        <v>46020</v>
      </c>
      <c r="E229" t="s">
        <v>59</v>
      </c>
      <c r="F229" t="s">
        <v>70</v>
      </c>
      <c r="G229" t="s">
        <v>50</v>
      </c>
      <c r="H229" t="s">
        <v>51</v>
      </c>
      <c r="I229" t="s">
        <v>84</v>
      </c>
      <c r="J229" t="s">
        <v>85</v>
      </c>
      <c r="K229" t="s">
        <v>43</v>
      </c>
      <c r="L229">
        <v>5</v>
      </c>
      <c r="M229">
        <v>45216</v>
      </c>
      <c r="N229">
        <v>0.05</v>
      </c>
      <c r="O229">
        <v>226080</v>
      </c>
      <c r="P229">
        <v>11304</v>
      </c>
      <c r="Q229">
        <v>214776</v>
      </c>
      <c r="R229">
        <f>YEAR(Sales_Data[[#This Row],[Order_Date]])</f>
        <v>2025</v>
      </c>
      <c r="S229" t="str">
        <f>TEXT(Sales_Data[[#This Row],[Order_Date]],"mmmm")</f>
        <v>December</v>
      </c>
      <c r="T229">
        <f t="shared" si="3"/>
        <v>12</v>
      </c>
      <c r="U229" t="str">
        <f>"Q"&amp;ROUNDUP(MONTH(Sales_Data[[#This Row],[Order_Date]])/3,0)</f>
        <v>Q4</v>
      </c>
      <c r="V229" t="s">
        <v>32</v>
      </c>
      <c r="W229" t="s">
        <v>54</v>
      </c>
      <c r="X229" t="s">
        <v>45</v>
      </c>
      <c r="Y229">
        <v>3</v>
      </c>
      <c r="Z229">
        <v>10</v>
      </c>
      <c r="AA229">
        <v>5</v>
      </c>
      <c r="AB229" t="s">
        <v>113</v>
      </c>
      <c r="AC229" t="s">
        <v>36</v>
      </c>
      <c r="AD229">
        <v>2025</v>
      </c>
    </row>
    <row r="230" spans="1:30" x14ac:dyDescent="0.45">
      <c r="A230" t="s">
        <v>546</v>
      </c>
      <c r="B230" t="s">
        <v>547</v>
      </c>
      <c r="C230" t="str">
        <f>_xlfn.XLOOKUP(Sales_Data[[#This Row],[Product_ID]],Product_Master[Product_ID],Product_Master[Product],"Not Found")</f>
        <v>Bi-Fold Doors</v>
      </c>
      <c r="D230" s="3">
        <v>45898</v>
      </c>
      <c r="E230" t="s">
        <v>59</v>
      </c>
      <c r="F230" t="s">
        <v>60</v>
      </c>
      <c r="G230" t="s">
        <v>139</v>
      </c>
      <c r="H230" t="s">
        <v>71</v>
      </c>
      <c r="I230" t="s">
        <v>41</v>
      </c>
      <c r="J230" t="s">
        <v>42</v>
      </c>
      <c r="K230" t="s">
        <v>43</v>
      </c>
      <c r="L230">
        <v>1</v>
      </c>
      <c r="M230">
        <v>52711</v>
      </c>
      <c r="N230">
        <v>0</v>
      </c>
      <c r="O230">
        <v>52711</v>
      </c>
      <c r="P230">
        <v>0</v>
      </c>
      <c r="Q230">
        <v>52711</v>
      </c>
      <c r="R230">
        <f>YEAR(Sales_Data[[#This Row],[Order_Date]])</f>
        <v>2025</v>
      </c>
      <c r="S230" t="str">
        <f>TEXT(Sales_Data[[#This Row],[Order_Date]],"mmmm")</f>
        <v>August</v>
      </c>
      <c r="T230">
        <f t="shared" si="3"/>
        <v>8</v>
      </c>
      <c r="U230" t="str">
        <f>"Q"&amp;ROUNDUP(MONTH(Sales_Data[[#This Row],[Order_Date]])/3,0)</f>
        <v>Q3</v>
      </c>
      <c r="V230" t="s">
        <v>32</v>
      </c>
      <c r="W230" t="s">
        <v>33</v>
      </c>
      <c r="X230" t="s">
        <v>45</v>
      </c>
      <c r="Y230">
        <v>6</v>
      </c>
      <c r="Z230">
        <v>15</v>
      </c>
      <c r="AA230">
        <v>5</v>
      </c>
      <c r="AB230" t="s">
        <v>123</v>
      </c>
      <c r="AC230" t="s">
        <v>90</v>
      </c>
      <c r="AD230">
        <v>2025</v>
      </c>
    </row>
    <row r="231" spans="1:30" x14ac:dyDescent="0.45">
      <c r="A231" t="s">
        <v>548</v>
      </c>
      <c r="B231" t="s">
        <v>549</v>
      </c>
      <c r="C231" t="str">
        <f>_xlfn.XLOOKUP(Sales_Data[[#This Row],[Product_ID]],Product_Master[Product_ID],Product_Master[Product],"Not Found")</f>
        <v>Casement Windows</v>
      </c>
      <c r="D231" s="3">
        <v>45699</v>
      </c>
      <c r="E231" t="s">
        <v>25</v>
      </c>
      <c r="F231" t="s">
        <v>70</v>
      </c>
      <c r="G231" t="s">
        <v>111</v>
      </c>
      <c r="H231" t="s">
        <v>71</v>
      </c>
      <c r="I231" t="s">
        <v>75</v>
      </c>
      <c r="J231" t="s">
        <v>76</v>
      </c>
      <c r="K231" t="s">
        <v>31</v>
      </c>
      <c r="L231">
        <v>2</v>
      </c>
      <c r="M231">
        <v>28859</v>
      </c>
      <c r="N231">
        <v>0.05</v>
      </c>
      <c r="O231">
        <v>57718</v>
      </c>
      <c r="P231">
        <v>2885.9</v>
      </c>
      <c r="Q231">
        <v>54832.1</v>
      </c>
      <c r="R231">
        <f>YEAR(Sales_Data[[#This Row],[Order_Date]])</f>
        <v>2025</v>
      </c>
      <c r="S231" t="str">
        <f>TEXT(Sales_Data[[#This Row],[Order_Date]],"mmmm")</f>
        <v>February</v>
      </c>
      <c r="T231">
        <f t="shared" si="3"/>
        <v>2</v>
      </c>
      <c r="U231" t="str">
        <f>"Q"&amp;ROUNDUP(MONTH(Sales_Data[[#This Row],[Order_Date]])/3,0)</f>
        <v>Q1</v>
      </c>
      <c r="V231" t="s">
        <v>32</v>
      </c>
      <c r="W231" t="s">
        <v>65</v>
      </c>
      <c r="X231" t="s">
        <v>66</v>
      </c>
      <c r="Y231">
        <v>6</v>
      </c>
      <c r="Z231">
        <v>7</v>
      </c>
      <c r="AA231">
        <v>5</v>
      </c>
      <c r="AB231" t="s">
        <v>55</v>
      </c>
      <c r="AC231" t="s">
        <v>56</v>
      </c>
      <c r="AD231">
        <v>2025</v>
      </c>
    </row>
    <row r="232" spans="1:30" x14ac:dyDescent="0.45">
      <c r="A232" t="s">
        <v>550</v>
      </c>
      <c r="B232" t="s">
        <v>551</v>
      </c>
      <c r="C232" t="str">
        <f>_xlfn.XLOOKUP(Sales_Data[[#This Row],[Product_ID]],Product_Master[Product_ID],Product_Master[Product],"Not Found")</f>
        <v>French Doors</v>
      </c>
      <c r="D232" s="3">
        <v>45786</v>
      </c>
      <c r="E232" t="s">
        <v>59</v>
      </c>
      <c r="F232" t="s">
        <v>26</v>
      </c>
      <c r="G232" t="s">
        <v>27</v>
      </c>
      <c r="H232" t="s">
        <v>28</v>
      </c>
      <c r="I232" t="s">
        <v>84</v>
      </c>
      <c r="J232" t="s">
        <v>85</v>
      </c>
      <c r="K232" t="s">
        <v>43</v>
      </c>
      <c r="L232">
        <v>6</v>
      </c>
      <c r="M232">
        <v>39041</v>
      </c>
      <c r="N232">
        <v>0.05</v>
      </c>
      <c r="O232">
        <v>234246</v>
      </c>
      <c r="P232">
        <v>11712.3</v>
      </c>
      <c r="Q232">
        <v>222533.7</v>
      </c>
      <c r="R232">
        <f>YEAR(Sales_Data[[#This Row],[Order_Date]])</f>
        <v>2025</v>
      </c>
      <c r="S232" t="str">
        <f>TEXT(Sales_Data[[#This Row],[Order_Date]],"mmmm")</f>
        <v>May</v>
      </c>
      <c r="T232">
        <f t="shared" si="3"/>
        <v>5</v>
      </c>
      <c r="U232" t="str">
        <f>"Q"&amp;ROUNDUP(MONTH(Sales_Data[[#This Row],[Order_Date]])/3,0)</f>
        <v>Q2</v>
      </c>
      <c r="V232" t="s">
        <v>32</v>
      </c>
      <c r="W232" t="s">
        <v>54</v>
      </c>
      <c r="X232" t="s">
        <v>45</v>
      </c>
      <c r="Y232">
        <v>7</v>
      </c>
      <c r="Z232">
        <v>16</v>
      </c>
      <c r="AA232">
        <v>5</v>
      </c>
      <c r="AB232" t="s">
        <v>72</v>
      </c>
      <c r="AC232" t="s">
        <v>47</v>
      </c>
      <c r="AD232">
        <v>2025</v>
      </c>
    </row>
    <row r="233" spans="1:30" x14ac:dyDescent="0.45">
      <c r="A233" t="s">
        <v>552</v>
      </c>
      <c r="B233" t="s">
        <v>553</v>
      </c>
      <c r="C233" t="str">
        <f>_xlfn.XLOOKUP(Sales_Data[[#This Row],[Product_ID]],Product_Master[Product_ID],Product_Master[Product],"Not Found")</f>
        <v>Sliding Doors</v>
      </c>
      <c r="D233" s="3">
        <v>46000</v>
      </c>
      <c r="E233" t="s">
        <v>59</v>
      </c>
      <c r="F233" t="s">
        <v>70</v>
      </c>
      <c r="G233" t="s">
        <v>40</v>
      </c>
      <c r="H233" t="s">
        <v>51</v>
      </c>
      <c r="I233" t="s">
        <v>101</v>
      </c>
      <c r="J233" t="s">
        <v>102</v>
      </c>
      <c r="K233" t="s">
        <v>43</v>
      </c>
      <c r="L233">
        <v>5</v>
      </c>
      <c r="M233">
        <v>32777</v>
      </c>
      <c r="N233">
        <v>0.2</v>
      </c>
      <c r="O233">
        <v>163885</v>
      </c>
      <c r="P233">
        <v>32777</v>
      </c>
      <c r="Q233">
        <v>131108</v>
      </c>
      <c r="R233">
        <f>YEAR(Sales_Data[[#This Row],[Order_Date]])</f>
        <v>2025</v>
      </c>
      <c r="S233" t="str">
        <f>TEXT(Sales_Data[[#This Row],[Order_Date]],"mmmm")</f>
        <v>December</v>
      </c>
      <c r="T233">
        <f t="shared" si="3"/>
        <v>12</v>
      </c>
      <c r="U233" t="str">
        <f>"Q"&amp;ROUNDUP(MONTH(Sales_Data[[#This Row],[Order_Date]])/3,0)</f>
        <v>Q4</v>
      </c>
      <c r="V233" t="s">
        <v>44</v>
      </c>
      <c r="W233" t="s">
        <v>54</v>
      </c>
      <c r="X233" t="s">
        <v>45</v>
      </c>
      <c r="Y233">
        <v>1</v>
      </c>
      <c r="Z233">
        <v>18</v>
      </c>
      <c r="AA233">
        <v>5</v>
      </c>
      <c r="AB233" t="s">
        <v>113</v>
      </c>
      <c r="AC233" t="s">
        <v>36</v>
      </c>
      <c r="AD233">
        <v>2025</v>
      </c>
    </row>
    <row r="234" spans="1:30" x14ac:dyDescent="0.45">
      <c r="A234" t="s">
        <v>554</v>
      </c>
      <c r="B234" t="s">
        <v>555</v>
      </c>
      <c r="C234" t="str">
        <f>_xlfn.XLOOKUP(Sales_Data[[#This Row],[Product_ID]],Product_Master[Product_ID],Product_Master[Product],"Not Found")</f>
        <v>Soundproof Windows</v>
      </c>
      <c r="D234" s="3">
        <v>45865</v>
      </c>
      <c r="E234" t="s">
        <v>25</v>
      </c>
      <c r="F234" t="s">
        <v>39</v>
      </c>
      <c r="G234" t="s">
        <v>61</v>
      </c>
      <c r="H234" t="s">
        <v>112</v>
      </c>
      <c r="I234" t="s">
        <v>29</v>
      </c>
      <c r="J234" t="s">
        <v>30</v>
      </c>
      <c r="K234" t="s">
        <v>31</v>
      </c>
      <c r="L234">
        <v>1</v>
      </c>
      <c r="M234">
        <v>49512</v>
      </c>
      <c r="N234">
        <v>0.15</v>
      </c>
      <c r="O234">
        <v>49512</v>
      </c>
      <c r="P234">
        <v>7426.8</v>
      </c>
      <c r="Q234">
        <v>42085.2</v>
      </c>
      <c r="R234">
        <f>YEAR(Sales_Data[[#This Row],[Order_Date]])</f>
        <v>2025</v>
      </c>
      <c r="S234" t="str">
        <f>TEXT(Sales_Data[[#This Row],[Order_Date]],"mmmm")</f>
        <v>July</v>
      </c>
      <c r="T234">
        <f t="shared" si="3"/>
        <v>7</v>
      </c>
      <c r="U234" t="str">
        <f>"Q"&amp;ROUNDUP(MONTH(Sales_Data[[#This Row],[Order_Date]])/3,0)</f>
        <v>Q3</v>
      </c>
      <c r="V234" t="s">
        <v>32</v>
      </c>
      <c r="W234" t="s">
        <v>33</v>
      </c>
      <c r="X234" t="s">
        <v>45</v>
      </c>
      <c r="Y234">
        <v>2</v>
      </c>
      <c r="Z234">
        <v>11</v>
      </c>
      <c r="AA234">
        <v>4</v>
      </c>
      <c r="AB234" t="s">
        <v>155</v>
      </c>
      <c r="AC234" t="s">
        <v>90</v>
      </c>
      <c r="AD234">
        <v>2025</v>
      </c>
    </row>
    <row r="235" spans="1:30" x14ac:dyDescent="0.45">
      <c r="A235" t="s">
        <v>556</v>
      </c>
      <c r="B235" t="s">
        <v>557</v>
      </c>
      <c r="C235" t="str">
        <f>_xlfn.XLOOKUP(Sales_Data[[#This Row],[Product_ID]],Product_Master[Product_ID],Product_Master[Product],"Not Found")</f>
        <v>Soundproof Windows</v>
      </c>
      <c r="D235" s="3">
        <v>45754</v>
      </c>
      <c r="E235" t="s">
        <v>25</v>
      </c>
      <c r="F235" t="s">
        <v>39</v>
      </c>
      <c r="G235" t="s">
        <v>50</v>
      </c>
      <c r="H235" t="s">
        <v>112</v>
      </c>
      <c r="I235" t="s">
        <v>29</v>
      </c>
      <c r="J235" t="s">
        <v>30</v>
      </c>
      <c r="K235" t="s">
        <v>31</v>
      </c>
      <c r="L235">
        <v>1</v>
      </c>
      <c r="M235">
        <v>45979</v>
      </c>
      <c r="N235">
        <v>0.15</v>
      </c>
      <c r="O235">
        <v>45979</v>
      </c>
      <c r="P235">
        <v>6896.85</v>
      </c>
      <c r="Q235">
        <v>39082.15</v>
      </c>
      <c r="R235">
        <f>YEAR(Sales_Data[[#This Row],[Order_Date]])</f>
        <v>2025</v>
      </c>
      <c r="S235" t="str">
        <f>TEXT(Sales_Data[[#This Row],[Order_Date]],"mmmm")</f>
        <v>April</v>
      </c>
      <c r="T235">
        <f t="shared" si="3"/>
        <v>4</v>
      </c>
      <c r="U235" t="str">
        <f>"Q"&amp;ROUNDUP(MONTH(Sales_Data[[#This Row],[Order_Date]])/3,0)</f>
        <v>Q2</v>
      </c>
      <c r="V235" t="s">
        <v>98</v>
      </c>
      <c r="W235" t="s">
        <v>33</v>
      </c>
      <c r="X235" t="s">
        <v>45</v>
      </c>
      <c r="Y235">
        <v>2</v>
      </c>
      <c r="Z235">
        <v>20</v>
      </c>
      <c r="AA235">
        <v>4</v>
      </c>
      <c r="AB235" t="s">
        <v>77</v>
      </c>
      <c r="AC235" t="s">
        <v>47</v>
      </c>
      <c r="AD235">
        <v>2025</v>
      </c>
    </row>
    <row r="236" spans="1:30" x14ac:dyDescent="0.45">
      <c r="A236" t="s">
        <v>558</v>
      </c>
      <c r="B236" t="s">
        <v>559</v>
      </c>
      <c r="C236" t="str">
        <f>_xlfn.XLOOKUP(Sales_Data[[#This Row],[Product_ID]],Product_Master[Product_ID],Product_Master[Product],"Not Found")</f>
        <v>Aluminium Windows</v>
      </c>
      <c r="D236" s="3">
        <v>45860</v>
      </c>
      <c r="E236" t="s">
        <v>25</v>
      </c>
      <c r="F236" t="s">
        <v>26</v>
      </c>
      <c r="G236" t="s">
        <v>82</v>
      </c>
      <c r="H236" t="s">
        <v>71</v>
      </c>
      <c r="I236" t="s">
        <v>52</v>
      </c>
      <c r="J236" t="s">
        <v>53</v>
      </c>
      <c r="K236" t="s">
        <v>31</v>
      </c>
      <c r="L236">
        <v>5</v>
      </c>
      <c r="M236">
        <v>22806</v>
      </c>
      <c r="N236">
        <v>0.15</v>
      </c>
      <c r="O236">
        <v>114030</v>
      </c>
      <c r="P236">
        <v>17104.5</v>
      </c>
      <c r="Q236">
        <v>96925.5</v>
      </c>
      <c r="R236">
        <f>YEAR(Sales_Data[[#This Row],[Order_Date]])</f>
        <v>2025</v>
      </c>
      <c r="S236" t="str">
        <f>TEXT(Sales_Data[[#This Row],[Order_Date]],"mmmm")</f>
        <v>July</v>
      </c>
      <c r="T236">
        <f t="shared" si="3"/>
        <v>7</v>
      </c>
      <c r="U236" t="str">
        <f>"Q"&amp;ROUNDUP(MONTH(Sales_Data[[#This Row],[Order_Date]])/3,0)</f>
        <v>Q3</v>
      </c>
      <c r="V236" t="s">
        <v>32</v>
      </c>
      <c r="W236" t="s">
        <v>33</v>
      </c>
      <c r="X236" t="s">
        <v>66</v>
      </c>
      <c r="Y236">
        <v>2</v>
      </c>
      <c r="Z236">
        <v>21</v>
      </c>
      <c r="AA236">
        <v>4</v>
      </c>
      <c r="AB236" t="s">
        <v>155</v>
      </c>
      <c r="AC236" t="s">
        <v>90</v>
      </c>
      <c r="AD236">
        <v>2025</v>
      </c>
    </row>
    <row r="237" spans="1:30" x14ac:dyDescent="0.45">
      <c r="A237" t="s">
        <v>560</v>
      </c>
      <c r="B237" t="s">
        <v>561</v>
      </c>
      <c r="C237" t="str">
        <f>_xlfn.XLOOKUP(Sales_Data[[#This Row],[Product_ID]],Product_Master[Product_ID],Product_Master[Product],"Not Found")</f>
        <v>uPVC Windows</v>
      </c>
      <c r="D237" s="3">
        <v>45814</v>
      </c>
      <c r="E237" t="s">
        <v>25</v>
      </c>
      <c r="F237" t="s">
        <v>70</v>
      </c>
      <c r="G237" t="s">
        <v>40</v>
      </c>
      <c r="H237" t="s">
        <v>83</v>
      </c>
      <c r="I237" t="s">
        <v>62</v>
      </c>
      <c r="J237" t="s">
        <v>63</v>
      </c>
      <c r="K237" t="s">
        <v>31</v>
      </c>
      <c r="L237">
        <v>4</v>
      </c>
      <c r="M237">
        <v>20484</v>
      </c>
      <c r="N237">
        <v>0.1</v>
      </c>
      <c r="O237">
        <v>81936</v>
      </c>
      <c r="P237">
        <v>8193.6</v>
      </c>
      <c r="Q237">
        <v>73742.399999999994</v>
      </c>
      <c r="R237">
        <f>YEAR(Sales_Data[[#This Row],[Order_Date]])</f>
        <v>2025</v>
      </c>
      <c r="S237" t="str">
        <f>TEXT(Sales_Data[[#This Row],[Order_Date]],"mmmm")</f>
        <v>June</v>
      </c>
      <c r="T237">
        <f t="shared" si="3"/>
        <v>6</v>
      </c>
      <c r="U237" t="str">
        <f>"Q"&amp;ROUNDUP(MONTH(Sales_Data[[#This Row],[Order_Date]])/3,0)</f>
        <v>Q2</v>
      </c>
      <c r="V237" t="s">
        <v>32</v>
      </c>
      <c r="W237" t="s">
        <v>33</v>
      </c>
      <c r="X237" t="s">
        <v>45</v>
      </c>
      <c r="Y237">
        <v>5</v>
      </c>
      <c r="Z237">
        <v>27</v>
      </c>
      <c r="AA237">
        <v>5</v>
      </c>
      <c r="AB237" t="s">
        <v>46</v>
      </c>
      <c r="AC237" t="s">
        <v>47</v>
      </c>
      <c r="AD237">
        <v>2025</v>
      </c>
    </row>
    <row r="238" spans="1:30" x14ac:dyDescent="0.45">
      <c r="A238" t="s">
        <v>562</v>
      </c>
      <c r="B238" t="s">
        <v>563</v>
      </c>
      <c r="C238" t="str">
        <f>_xlfn.XLOOKUP(Sales_Data[[#This Row],[Product_ID]],Product_Master[Product_ID],Product_Master[Product],"Not Found")</f>
        <v>French Doors</v>
      </c>
      <c r="D238" s="3">
        <v>45683</v>
      </c>
      <c r="E238" t="s">
        <v>59</v>
      </c>
      <c r="F238" t="s">
        <v>26</v>
      </c>
      <c r="G238" t="s">
        <v>61</v>
      </c>
      <c r="H238" t="s">
        <v>28</v>
      </c>
      <c r="I238" t="s">
        <v>84</v>
      </c>
      <c r="J238" t="s">
        <v>85</v>
      </c>
      <c r="K238" t="s">
        <v>43</v>
      </c>
      <c r="L238">
        <v>1</v>
      </c>
      <c r="M238">
        <v>45059</v>
      </c>
      <c r="N238">
        <v>0.05</v>
      </c>
      <c r="O238">
        <v>45059</v>
      </c>
      <c r="P238">
        <v>2252.9499999999998</v>
      </c>
      <c r="Q238">
        <v>42806.05</v>
      </c>
      <c r="R238">
        <f>YEAR(Sales_Data[[#This Row],[Order_Date]])</f>
        <v>2025</v>
      </c>
      <c r="S238" t="str">
        <f>TEXT(Sales_Data[[#This Row],[Order_Date]],"mmmm")</f>
        <v>January</v>
      </c>
      <c r="T238">
        <f t="shared" si="3"/>
        <v>1</v>
      </c>
      <c r="U238" t="str">
        <f>"Q"&amp;ROUNDUP(MONTH(Sales_Data[[#This Row],[Order_Date]])/3,0)</f>
        <v>Q1</v>
      </c>
      <c r="V238" t="s">
        <v>32</v>
      </c>
      <c r="W238" t="s">
        <v>54</v>
      </c>
      <c r="X238" t="s">
        <v>34</v>
      </c>
      <c r="Y238">
        <v>4</v>
      </c>
      <c r="Z238">
        <v>5</v>
      </c>
      <c r="AA238">
        <v>4</v>
      </c>
      <c r="AB238" t="s">
        <v>144</v>
      </c>
      <c r="AC238" t="s">
        <v>56</v>
      </c>
      <c r="AD238">
        <v>2025</v>
      </c>
    </row>
    <row r="239" spans="1:30" x14ac:dyDescent="0.45">
      <c r="A239" t="s">
        <v>564</v>
      </c>
      <c r="B239" t="s">
        <v>565</v>
      </c>
      <c r="C239" t="str">
        <f>_xlfn.XLOOKUP(Sales_Data[[#This Row],[Product_ID]],Product_Master[Product_ID],Product_Master[Product],"Not Found")</f>
        <v>Soundproof Windows</v>
      </c>
      <c r="D239" s="3">
        <v>46013</v>
      </c>
      <c r="E239" t="s">
        <v>25</v>
      </c>
      <c r="F239" t="s">
        <v>60</v>
      </c>
      <c r="G239" t="s">
        <v>82</v>
      </c>
      <c r="H239" t="s">
        <v>119</v>
      </c>
      <c r="I239" t="s">
        <v>29</v>
      </c>
      <c r="J239" t="s">
        <v>30</v>
      </c>
      <c r="K239" t="s">
        <v>31</v>
      </c>
      <c r="L239">
        <v>6</v>
      </c>
      <c r="M239">
        <v>44497</v>
      </c>
      <c r="N239">
        <v>0.15</v>
      </c>
      <c r="O239">
        <v>266982</v>
      </c>
      <c r="P239">
        <v>40047.300000000003</v>
      </c>
      <c r="Q239">
        <v>226934.7</v>
      </c>
      <c r="R239">
        <f>YEAR(Sales_Data[[#This Row],[Order_Date]])</f>
        <v>2025</v>
      </c>
      <c r="S239" t="str">
        <f>TEXT(Sales_Data[[#This Row],[Order_Date]],"mmmm")</f>
        <v>December</v>
      </c>
      <c r="T239">
        <f t="shared" si="3"/>
        <v>12</v>
      </c>
      <c r="U239" t="str">
        <f>"Q"&amp;ROUNDUP(MONTH(Sales_Data[[#This Row],[Order_Date]])/3,0)</f>
        <v>Q4</v>
      </c>
      <c r="V239" t="s">
        <v>32</v>
      </c>
      <c r="W239" t="s">
        <v>33</v>
      </c>
      <c r="X239" t="s">
        <v>34</v>
      </c>
      <c r="Y239">
        <v>4</v>
      </c>
      <c r="Z239">
        <v>25</v>
      </c>
      <c r="AA239">
        <v>2</v>
      </c>
      <c r="AB239" t="s">
        <v>113</v>
      </c>
      <c r="AC239" t="s">
        <v>36</v>
      </c>
      <c r="AD239">
        <v>2025</v>
      </c>
    </row>
    <row r="240" spans="1:30" x14ac:dyDescent="0.45">
      <c r="A240" t="s">
        <v>566</v>
      </c>
      <c r="B240" t="s">
        <v>567</v>
      </c>
      <c r="C240" t="str">
        <f>_xlfn.XLOOKUP(Sales_Data[[#This Row],[Product_ID]],Product_Master[Product_ID],Product_Master[Product],"Not Found")</f>
        <v>Soundproof Windows</v>
      </c>
      <c r="D240" s="3">
        <v>45792</v>
      </c>
      <c r="E240" t="s">
        <v>59</v>
      </c>
      <c r="F240" t="s">
        <v>26</v>
      </c>
      <c r="G240" t="s">
        <v>82</v>
      </c>
      <c r="H240" t="s">
        <v>88</v>
      </c>
      <c r="I240" t="s">
        <v>29</v>
      </c>
      <c r="J240" t="s">
        <v>30</v>
      </c>
      <c r="K240" t="s">
        <v>31</v>
      </c>
      <c r="L240">
        <v>3</v>
      </c>
      <c r="M240">
        <v>51364</v>
      </c>
      <c r="N240">
        <v>0.05</v>
      </c>
      <c r="O240">
        <v>154092</v>
      </c>
      <c r="P240">
        <v>7704.6</v>
      </c>
      <c r="Q240">
        <v>146387.4</v>
      </c>
      <c r="R240">
        <f>YEAR(Sales_Data[[#This Row],[Order_Date]])</f>
        <v>2025</v>
      </c>
      <c r="S240" t="str">
        <f>TEXT(Sales_Data[[#This Row],[Order_Date]],"mmmm")</f>
        <v>May</v>
      </c>
      <c r="T240">
        <f t="shared" si="3"/>
        <v>5</v>
      </c>
      <c r="U240" t="str">
        <f>"Q"&amp;ROUNDUP(MONTH(Sales_Data[[#This Row],[Order_Date]])/3,0)</f>
        <v>Q2</v>
      </c>
      <c r="V240" t="s">
        <v>64</v>
      </c>
      <c r="W240" t="s">
        <v>33</v>
      </c>
      <c r="X240" t="s">
        <v>45</v>
      </c>
      <c r="Y240">
        <v>6</v>
      </c>
      <c r="Z240">
        <v>21</v>
      </c>
      <c r="AA240">
        <v>4</v>
      </c>
      <c r="AB240" t="s">
        <v>72</v>
      </c>
      <c r="AC240" t="s">
        <v>47</v>
      </c>
      <c r="AD240">
        <v>2025</v>
      </c>
    </row>
    <row r="241" spans="1:30" x14ac:dyDescent="0.45">
      <c r="A241" t="s">
        <v>568</v>
      </c>
      <c r="B241" t="s">
        <v>569</v>
      </c>
      <c r="C241" t="str">
        <f>_xlfn.XLOOKUP(Sales_Data[[#This Row],[Product_ID]],Product_Master[Product_ID],Product_Master[Product],"Not Found")</f>
        <v>Aluminium Windows</v>
      </c>
      <c r="D241" s="3">
        <v>45854</v>
      </c>
      <c r="E241" t="s">
        <v>25</v>
      </c>
      <c r="F241" t="s">
        <v>60</v>
      </c>
      <c r="G241" t="s">
        <v>61</v>
      </c>
      <c r="H241" t="s">
        <v>28</v>
      </c>
      <c r="I241" t="s">
        <v>52</v>
      </c>
      <c r="J241" t="s">
        <v>53</v>
      </c>
      <c r="K241" t="s">
        <v>31</v>
      </c>
      <c r="L241">
        <v>3</v>
      </c>
      <c r="M241">
        <v>24874</v>
      </c>
      <c r="N241">
        <v>0.15</v>
      </c>
      <c r="O241">
        <v>74622</v>
      </c>
      <c r="P241">
        <v>11193.3</v>
      </c>
      <c r="Q241">
        <v>63428.7</v>
      </c>
      <c r="R241">
        <f>YEAR(Sales_Data[[#This Row],[Order_Date]])</f>
        <v>2025</v>
      </c>
      <c r="S241" t="str">
        <f>TEXT(Sales_Data[[#This Row],[Order_Date]],"mmmm")</f>
        <v>July</v>
      </c>
      <c r="T241">
        <f t="shared" si="3"/>
        <v>7</v>
      </c>
      <c r="U241" t="str">
        <f>"Q"&amp;ROUNDUP(MONTH(Sales_Data[[#This Row],[Order_Date]])/3,0)</f>
        <v>Q3</v>
      </c>
      <c r="V241" t="s">
        <v>64</v>
      </c>
      <c r="W241" t="s">
        <v>65</v>
      </c>
      <c r="X241" t="s">
        <v>34</v>
      </c>
      <c r="Y241">
        <v>1</v>
      </c>
      <c r="Z241">
        <v>6</v>
      </c>
      <c r="AA241">
        <v>4</v>
      </c>
      <c r="AB241" t="s">
        <v>155</v>
      </c>
      <c r="AC241" t="s">
        <v>90</v>
      </c>
      <c r="AD241">
        <v>2025</v>
      </c>
    </row>
    <row r="242" spans="1:30" x14ac:dyDescent="0.45">
      <c r="A242" t="s">
        <v>570</v>
      </c>
      <c r="B242" t="s">
        <v>571</v>
      </c>
      <c r="C242" t="str">
        <f>_xlfn.XLOOKUP(Sales_Data[[#This Row],[Product_ID]],Product_Master[Product_ID],Product_Master[Product],"Not Found")</f>
        <v>French Doors</v>
      </c>
      <c r="D242" s="3">
        <v>45963</v>
      </c>
      <c r="E242" t="s">
        <v>59</v>
      </c>
      <c r="F242" t="s">
        <v>39</v>
      </c>
      <c r="G242" t="s">
        <v>116</v>
      </c>
      <c r="H242" t="s">
        <v>51</v>
      </c>
      <c r="I242" t="s">
        <v>84</v>
      </c>
      <c r="J242" t="s">
        <v>85</v>
      </c>
      <c r="K242" t="s">
        <v>43</v>
      </c>
      <c r="L242">
        <v>6</v>
      </c>
      <c r="M242">
        <v>47595</v>
      </c>
      <c r="N242">
        <v>0.2</v>
      </c>
      <c r="O242">
        <v>285570</v>
      </c>
      <c r="P242">
        <v>57114</v>
      </c>
      <c r="Q242">
        <v>228456</v>
      </c>
      <c r="R242">
        <f>YEAR(Sales_Data[[#This Row],[Order_Date]])</f>
        <v>2025</v>
      </c>
      <c r="S242" t="str">
        <f>TEXT(Sales_Data[[#This Row],[Order_Date]],"mmmm")</f>
        <v>November</v>
      </c>
      <c r="T242">
        <f t="shared" si="3"/>
        <v>11</v>
      </c>
      <c r="U242" t="str">
        <f>"Q"&amp;ROUNDUP(MONTH(Sales_Data[[#This Row],[Order_Date]])/3,0)</f>
        <v>Q4</v>
      </c>
      <c r="V242" t="s">
        <v>64</v>
      </c>
      <c r="W242" t="s">
        <v>33</v>
      </c>
      <c r="X242" t="s">
        <v>45</v>
      </c>
      <c r="Y242">
        <v>4</v>
      </c>
      <c r="Z242">
        <v>14</v>
      </c>
      <c r="AA242">
        <v>5</v>
      </c>
      <c r="AB242" t="s">
        <v>67</v>
      </c>
      <c r="AC242" t="s">
        <v>36</v>
      </c>
      <c r="AD242">
        <v>2025</v>
      </c>
    </row>
    <row r="243" spans="1:30" x14ac:dyDescent="0.45">
      <c r="A243" t="s">
        <v>572</v>
      </c>
      <c r="B243" t="s">
        <v>573</v>
      </c>
      <c r="C243" t="str">
        <f>_xlfn.XLOOKUP(Sales_Data[[#This Row],[Product_ID]],Product_Master[Product_ID],Product_Master[Product],"Not Found")</f>
        <v>uPVC Windows</v>
      </c>
      <c r="D243" s="3">
        <v>45901</v>
      </c>
      <c r="E243" t="s">
        <v>25</v>
      </c>
      <c r="F243" t="s">
        <v>39</v>
      </c>
      <c r="G243" t="s">
        <v>50</v>
      </c>
      <c r="H243" t="s">
        <v>51</v>
      </c>
      <c r="I243" t="s">
        <v>62</v>
      </c>
      <c r="J243" t="s">
        <v>63</v>
      </c>
      <c r="K243" t="s">
        <v>31</v>
      </c>
      <c r="L243">
        <v>4</v>
      </c>
      <c r="M243">
        <v>17279</v>
      </c>
      <c r="N243">
        <v>0.05</v>
      </c>
      <c r="O243">
        <v>69116</v>
      </c>
      <c r="P243">
        <v>3455.8</v>
      </c>
      <c r="Q243">
        <v>65660.2</v>
      </c>
      <c r="R243">
        <f>YEAR(Sales_Data[[#This Row],[Order_Date]])</f>
        <v>2025</v>
      </c>
      <c r="S243" t="str">
        <f>TEXT(Sales_Data[[#This Row],[Order_Date]],"mmmm")</f>
        <v>September</v>
      </c>
      <c r="T243">
        <f t="shared" si="3"/>
        <v>9</v>
      </c>
      <c r="U243" t="str">
        <f>"Q"&amp;ROUNDUP(MONTH(Sales_Data[[#This Row],[Order_Date]])/3,0)</f>
        <v>Q3</v>
      </c>
      <c r="V243" t="s">
        <v>32</v>
      </c>
      <c r="W243" t="s">
        <v>33</v>
      </c>
      <c r="X243" t="s">
        <v>45</v>
      </c>
      <c r="Y243">
        <v>2</v>
      </c>
      <c r="Z243">
        <v>29</v>
      </c>
      <c r="AA243">
        <v>2</v>
      </c>
      <c r="AB243" t="s">
        <v>89</v>
      </c>
      <c r="AC243" t="s">
        <v>90</v>
      </c>
      <c r="AD243">
        <v>2025</v>
      </c>
    </row>
    <row r="244" spans="1:30" x14ac:dyDescent="0.45">
      <c r="A244" t="s">
        <v>574</v>
      </c>
      <c r="B244" t="s">
        <v>575</v>
      </c>
      <c r="C244" t="str">
        <f>_xlfn.XLOOKUP(Sales_Data[[#This Row],[Product_ID]],Product_Master[Product_ID],Product_Master[Product],"Not Found")</f>
        <v>Aluminium Windows</v>
      </c>
      <c r="D244" s="3">
        <v>45734</v>
      </c>
      <c r="E244" t="s">
        <v>59</v>
      </c>
      <c r="F244" t="s">
        <v>70</v>
      </c>
      <c r="G244" t="s">
        <v>111</v>
      </c>
      <c r="H244" t="s">
        <v>51</v>
      </c>
      <c r="I244" t="s">
        <v>52</v>
      </c>
      <c r="J244" t="s">
        <v>53</v>
      </c>
      <c r="K244" t="s">
        <v>31</v>
      </c>
      <c r="L244">
        <v>5</v>
      </c>
      <c r="M244">
        <v>23117</v>
      </c>
      <c r="N244">
        <v>0</v>
      </c>
      <c r="O244">
        <v>115585</v>
      </c>
      <c r="P244">
        <v>0</v>
      </c>
      <c r="Q244">
        <v>115585</v>
      </c>
      <c r="R244">
        <f>YEAR(Sales_Data[[#This Row],[Order_Date]])</f>
        <v>2025</v>
      </c>
      <c r="S244" t="str">
        <f>TEXT(Sales_Data[[#This Row],[Order_Date]],"mmmm")</f>
        <v>March</v>
      </c>
      <c r="T244">
        <f t="shared" si="3"/>
        <v>3</v>
      </c>
      <c r="U244" t="str">
        <f>"Q"&amp;ROUNDUP(MONTH(Sales_Data[[#This Row],[Order_Date]])/3,0)</f>
        <v>Q1</v>
      </c>
      <c r="V244" t="s">
        <v>44</v>
      </c>
      <c r="W244" t="s">
        <v>33</v>
      </c>
      <c r="X244" t="s">
        <v>34</v>
      </c>
      <c r="Y244">
        <v>4</v>
      </c>
      <c r="Z244">
        <v>13</v>
      </c>
      <c r="AA244">
        <v>4</v>
      </c>
      <c r="AB244" t="s">
        <v>130</v>
      </c>
      <c r="AC244" t="s">
        <v>56</v>
      </c>
      <c r="AD244">
        <v>2025</v>
      </c>
    </row>
    <row r="245" spans="1:30" x14ac:dyDescent="0.45">
      <c r="A245" t="s">
        <v>576</v>
      </c>
      <c r="B245" t="s">
        <v>577</v>
      </c>
      <c r="C245" t="str">
        <f>_xlfn.XLOOKUP(Sales_Data[[#This Row],[Product_ID]],Product_Master[Product_ID],Product_Master[Product],"Not Found")</f>
        <v>Casement Windows</v>
      </c>
      <c r="D245" s="3">
        <v>45662</v>
      </c>
      <c r="E245" t="s">
        <v>59</v>
      </c>
      <c r="F245" t="s">
        <v>60</v>
      </c>
      <c r="G245" t="s">
        <v>111</v>
      </c>
      <c r="H245" t="s">
        <v>88</v>
      </c>
      <c r="I245" t="s">
        <v>75</v>
      </c>
      <c r="J245" t="s">
        <v>76</v>
      </c>
      <c r="K245" t="s">
        <v>31</v>
      </c>
      <c r="L245">
        <v>3</v>
      </c>
      <c r="M245">
        <v>29245</v>
      </c>
      <c r="N245">
        <v>0.1</v>
      </c>
      <c r="O245">
        <v>87735</v>
      </c>
      <c r="P245">
        <v>8773.5</v>
      </c>
      <c r="Q245">
        <v>78961.5</v>
      </c>
      <c r="R245">
        <f>YEAR(Sales_Data[[#This Row],[Order_Date]])</f>
        <v>2025</v>
      </c>
      <c r="S245" t="str">
        <f>TEXT(Sales_Data[[#This Row],[Order_Date]],"mmmm")</f>
        <v>January</v>
      </c>
      <c r="T245">
        <f t="shared" si="3"/>
        <v>1</v>
      </c>
      <c r="U245" t="str">
        <f>"Q"&amp;ROUNDUP(MONTH(Sales_Data[[#This Row],[Order_Date]])/3,0)</f>
        <v>Q1</v>
      </c>
      <c r="V245" t="s">
        <v>32</v>
      </c>
      <c r="W245" t="s">
        <v>54</v>
      </c>
      <c r="X245" t="s">
        <v>66</v>
      </c>
      <c r="Y245">
        <v>3</v>
      </c>
      <c r="Z245">
        <v>19</v>
      </c>
      <c r="AA245">
        <v>3</v>
      </c>
      <c r="AB245" t="s">
        <v>144</v>
      </c>
      <c r="AC245" t="s">
        <v>56</v>
      </c>
      <c r="AD245">
        <v>2025</v>
      </c>
    </row>
    <row r="246" spans="1:30" x14ac:dyDescent="0.45">
      <c r="A246" t="s">
        <v>578</v>
      </c>
      <c r="B246" t="s">
        <v>579</v>
      </c>
      <c r="C246" t="str">
        <f>_xlfn.XLOOKUP(Sales_Data[[#This Row],[Product_ID]],Product_Master[Product_ID],Product_Master[Product],"Not Found")</f>
        <v>Sliding Doors</v>
      </c>
      <c r="D246" s="3">
        <v>45801</v>
      </c>
      <c r="E246" t="s">
        <v>25</v>
      </c>
      <c r="F246" t="s">
        <v>70</v>
      </c>
      <c r="G246" t="s">
        <v>82</v>
      </c>
      <c r="H246" t="s">
        <v>51</v>
      </c>
      <c r="I246" t="s">
        <v>101</v>
      </c>
      <c r="J246" t="s">
        <v>102</v>
      </c>
      <c r="K246" t="s">
        <v>43</v>
      </c>
      <c r="L246">
        <v>6</v>
      </c>
      <c r="M246">
        <v>38229</v>
      </c>
      <c r="N246">
        <v>0.05</v>
      </c>
      <c r="O246">
        <v>229374</v>
      </c>
      <c r="P246">
        <v>11468.7</v>
      </c>
      <c r="Q246">
        <v>217905.3</v>
      </c>
      <c r="R246">
        <f>YEAR(Sales_Data[[#This Row],[Order_Date]])</f>
        <v>2025</v>
      </c>
      <c r="S246" t="str">
        <f>TEXT(Sales_Data[[#This Row],[Order_Date]],"mmmm")</f>
        <v>May</v>
      </c>
      <c r="T246">
        <f t="shared" si="3"/>
        <v>5</v>
      </c>
      <c r="U246" t="str">
        <f>"Q"&amp;ROUNDUP(MONTH(Sales_Data[[#This Row],[Order_Date]])/3,0)</f>
        <v>Q2</v>
      </c>
      <c r="V246" t="s">
        <v>32</v>
      </c>
      <c r="W246" t="s">
        <v>33</v>
      </c>
      <c r="X246" t="s">
        <v>66</v>
      </c>
      <c r="Y246">
        <v>1</v>
      </c>
      <c r="Z246">
        <v>13</v>
      </c>
      <c r="AA246">
        <v>4</v>
      </c>
      <c r="AB246" t="s">
        <v>72</v>
      </c>
      <c r="AC246" t="s">
        <v>47</v>
      </c>
      <c r="AD246">
        <v>2025</v>
      </c>
    </row>
    <row r="247" spans="1:30" x14ac:dyDescent="0.45">
      <c r="A247" t="s">
        <v>580</v>
      </c>
      <c r="B247" t="s">
        <v>581</v>
      </c>
      <c r="C247" t="str">
        <f>_xlfn.XLOOKUP(Sales_Data[[#This Row],[Product_ID]],Product_Master[Product_ID],Product_Master[Product],"Not Found")</f>
        <v>Bi-Fold Doors</v>
      </c>
      <c r="D247" s="3">
        <v>45901</v>
      </c>
      <c r="E247" t="s">
        <v>25</v>
      </c>
      <c r="F247" t="s">
        <v>60</v>
      </c>
      <c r="G247" t="s">
        <v>111</v>
      </c>
      <c r="H247" t="s">
        <v>28</v>
      </c>
      <c r="I247" t="s">
        <v>41</v>
      </c>
      <c r="J247" t="s">
        <v>42</v>
      </c>
      <c r="K247" t="s">
        <v>43</v>
      </c>
      <c r="L247">
        <v>6</v>
      </c>
      <c r="M247">
        <v>58041</v>
      </c>
      <c r="N247">
        <v>0</v>
      </c>
      <c r="O247">
        <v>348246</v>
      </c>
      <c r="P247">
        <v>0</v>
      </c>
      <c r="Q247">
        <v>348246</v>
      </c>
      <c r="R247">
        <f>YEAR(Sales_Data[[#This Row],[Order_Date]])</f>
        <v>2025</v>
      </c>
      <c r="S247" t="str">
        <f>TEXT(Sales_Data[[#This Row],[Order_Date]],"mmmm")</f>
        <v>September</v>
      </c>
      <c r="T247">
        <f t="shared" si="3"/>
        <v>9</v>
      </c>
      <c r="U247" t="str">
        <f>"Q"&amp;ROUNDUP(MONTH(Sales_Data[[#This Row],[Order_Date]])/3,0)</f>
        <v>Q3</v>
      </c>
      <c r="V247" t="s">
        <v>32</v>
      </c>
      <c r="W247" t="s">
        <v>33</v>
      </c>
      <c r="X247" t="s">
        <v>66</v>
      </c>
      <c r="Y247">
        <v>3</v>
      </c>
      <c r="Z247">
        <v>14</v>
      </c>
      <c r="AA247">
        <v>4</v>
      </c>
      <c r="AB247" t="s">
        <v>89</v>
      </c>
      <c r="AC247" t="s">
        <v>90</v>
      </c>
      <c r="AD247">
        <v>2025</v>
      </c>
    </row>
    <row r="248" spans="1:30" x14ac:dyDescent="0.45">
      <c r="A248" t="s">
        <v>582</v>
      </c>
      <c r="B248" t="s">
        <v>583</v>
      </c>
      <c r="C248" t="str">
        <f>_xlfn.XLOOKUP(Sales_Data[[#This Row],[Product_ID]],Product_Master[Product_ID],Product_Master[Product],"Not Found")</f>
        <v>Soundproof Windows</v>
      </c>
      <c r="D248" s="3">
        <v>45875</v>
      </c>
      <c r="E248" t="s">
        <v>59</v>
      </c>
      <c r="F248" t="s">
        <v>60</v>
      </c>
      <c r="G248" t="s">
        <v>111</v>
      </c>
      <c r="H248" t="s">
        <v>112</v>
      </c>
      <c r="I248" t="s">
        <v>29</v>
      </c>
      <c r="J248" t="s">
        <v>30</v>
      </c>
      <c r="K248" t="s">
        <v>31</v>
      </c>
      <c r="L248">
        <v>1</v>
      </c>
      <c r="M248">
        <v>47999</v>
      </c>
      <c r="N248">
        <v>0</v>
      </c>
      <c r="O248">
        <v>47999</v>
      </c>
      <c r="P248">
        <v>0</v>
      </c>
      <c r="Q248">
        <v>47999</v>
      </c>
      <c r="R248">
        <f>YEAR(Sales_Data[[#This Row],[Order_Date]])</f>
        <v>2025</v>
      </c>
      <c r="S248" t="str">
        <f>TEXT(Sales_Data[[#This Row],[Order_Date]],"mmmm")</f>
        <v>August</v>
      </c>
      <c r="T248">
        <f t="shared" si="3"/>
        <v>8</v>
      </c>
      <c r="U248" t="str">
        <f>"Q"&amp;ROUNDUP(MONTH(Sales_Data[[#This Row],[Order_Date]])/3,0)</f>
        <v>Q3</v>
      </c>
      <c r="V248" t="s">
        <v>32</v>
      </c>
      <c r="W248" t="s">
        <v>33</v>
      </c>
      <c r="X248" t="s">
        <v>34</v>
      </c>
      <c r="Y248">
        <v>6</v>
      </c>
      <c r="Z248">
        <v>8</v>
      </c>
      <c r="AA248">
        <v>5</v>
      </c>
      <c r="AB248" t="s">
        <v>123</v>
      </c>
      <c r="AC248" t="s">
        <v>90</v>
      </c>
      <c r="AD248">
        <v>2025</v>
      </c>
    </row>
    <row r="249" spans="1:30" x14ac:dyDescent="0.45">
      <c r="A249" t="s">
        <v>584</v>
      </c>
      <c r="B249" t="s">
        <v>585</v>
      </c>
      <c r="C249" t="str">
        <f>_xlfn.XLOOKUP(Sales_Data[[#This Row],[Product_ID]],Product_Master[Product_ID],Product_Master[Product],"Not Found")</f>
        <v>uPVC Windows</v>
      </c>
      <c r="D249" s="3">
        <v>45981</v>
      </c>
      <c r="E249" t="s">
        <v>25</v>
      </c>
      <c r="F249" t="s">
        <v>70</v>
      </c>
      <c r="G249" t="s">
        <v>139</v>
      </c>
      <c r="H249" t="s">
        <v>88</v>
      </c>
      <c r="I249" t="s">
        <v>62</v>
      </c>
      <c r="J249" t="s">
        <v>63</v>
      </c>
      <c r="K249" t="s">
        <v>31</v>
      </c>
      <c r="L249">
        <v>2</v>
      </c>
      <c r="M249">
        <v>20402</v>
      </c>
      <c r="N249">
        <v>0</v>
      </c>
      <c r="O249">
        <v>40804</v>
      </c>
      <c r="P249">
        <v>0</v>
      </c>
      <c r="Q249">
        <v>40804</v>
      </c>
      <c r="R249">
        <f>YEAR(Sales_Data[[#This Row],[Order_Date]])</f>
        <v>2025</v>
      </c>
      <c r="S249" t="str">
        <f>TEXT(Sales_Data[[#This Row],[Order_Date]],"mmmm")</f>
        <v>November</v>
      </c>
      <c r="T249">
        <f t="shared" si="3"/>
        <v>11</v>
      </c>
      <c r="U249" t="str">
        <f>"Q"&amp;ROUNDUP(MONTH(Sales_Data[[#This Row],[Order_Date]])/3,0)</f>
        <v>Q4</v>
      </c>
      <c r="V249" t="s">
        <v>64</v>
      </c>
      <c r="W249" t="s">
        <v>33</v>
      </c>
      <c r="X249" t="s">
        <v>45</v>
      </c>
      <c r="Y249">
        <v>7</v>
      </c>
      <c r="Z249">
        <v>28</v>
      </c>
      <c r="AA249">
        <v>4</v>
      </c>
      <c r="AB249" t="s">
        <v>67</v>
      </c>
      <c r="AC249" t="s">
        <v>36</v>
      </c>
      <c r="AD249">
        <v>2025</v>
      </c>
    </row>
    <row r="250" spans="1:30" x14ac:dyDescent="0.45">
      <c r="A250" t="s">
        <v>586</v>
      </c>
      <c r="B250" t="s">
        <v>587</v>
      </c>
      <c r="C250" t="str">
        <f>_xlfn.XLOOKUP(Sales_Data[[#This Row],[Product_ID]],Product_Master[Product_ID],Product_Master[Product],"Not Found")</f>
        <v>uPVC Doors</v>
      </c>
      <c r="D250" s="3">
        <v>45781</v>
      </c>
      <c r="E250" t="s">
        <v>25</v>
      </c>
      <c r="F250" t="s">
        <v>70</v>
      </c>
      <c r="G250" t="s">
        <v>50</v>
      </c>
      <c r="H250" t="s">
        <v>88</v>
      </c>
      <c r="I250" t="s">
        <v>107</v>
      </c>
      <c r="J250" t="s">
        <v>108</v>
      </c>
      <c r="K250" t="s">
        <v>43</v>
      </c>
      <c r="L250">
        <v>1</v>
      </c>
      <c r="M250">
        <v>27833</v>
      </c>
      <c r="N250">
        <v>0</v>
      </c>
      <c r="O250">
        <v>27833</v>
      </c>
      <c r="P250">
        <v>0</v>
      </c>
      <c r="Q250">
        <v>27833</v>
      </c>
      <c r="R250">
        <f>YEAR(Sales_Data[[#This Row],[Order_Date]])</f>
        <v>2025</v>
      </c>
      <c r="S250" t="str">
        <f>TEXT(Sales_Data[[#This Row],[Order_Date]],"mmmm")</f>
        <v>May</v>
      </c>
      <c r="T250">
        <f t="shared" si="3"/>
        <v>5</v>
      </c>
      <c r="U250" t="str">
        <f>"Q"&amp;ROUNDUP(MONTH(Sales_Data[[#This Row],[Order_Date]])/3,0)</f>
        <v>Q2</v>
      </c>
      <c r="V250" t="s">
        <v>32</v>
      </c>
      <c r="W250" t="s">
        <v>33</v>
      </c>
      <c r="X250" t="s">
        <v>45</v>
      </c>
      <c r="Y250">
        <v>7</v>
      </c>
      <c r="Z250">
        <v>20</v>
      </c>
      <c r="AA250">
        <v>4</v>
      </c>
      <c r="AB250" t="s">
        <v>72</v>
      </c>
      <c r="AC250" t="s">
        <v>47</v>
      </c>
      <c r="AD250">
        <v>2025</v>
      </c>
    </row>
    <row r="251" spans="1:30" x14ac:dyDescent="0.45">
      <c r="A251" t="s">
        <v>588</v>
      </c>
      <c r="B251" t="s">
        <v>589</v>
      </c>
      <c r="C251" t="str">
        <f>_xlfn.XLOOKUP(Sales_Data[[#This Row],[Product_ID]],Product_Master[Product_ID],Product_Master[Product],"Not Found")</f>
        <v>uPVC Doors</v>
      </c>
      <c r="D251" s="3">
        <v>45802</v>
      </c>
      <c r="E251" t="s">
        <v>59</v>
      </c>
      <c r="F251" t="s">
        <v>26</v>
      </c>
      <c r="G251" t="s">
        <v>27</v>
      </c>
      <c r="H251" t="s">
        <v>112</v>
      </c>
      <c r="I251" t="s">
        <v>107</v>
      </c>
      <c r="J251" t="s">
        <v>108</v>
      </c>
      <c r="K251" t="s">
        <v>43</v>
      </c>
      <c r="L251">
        <v>2</v>
      </c>
      <c r="M251">
        <v>33295</v>
      </c>
      <c r="N251">
        <v>0.1</v>
      </c>
      <c r="O251">
        <v>66590</v>
      </c>
      <c r="P251">
        <v>6659</v>
      </c>
      <c r="Q251">
        <v>59931</v>
      </c>
      <c r="R251">
        <f>YEAR(Sales_Data[[#This Row],[Order_Date]])</f>
        <v>2025</v>
      </c>
      <c r="S251" t="str">
        <f>TEXT(Sales_Data[[#This Row],[Order_Date]],"mmmm")</f>
        <v>May</v>
      </c>
      <c r="T251">
        <f t="shared" si="3"/>
        <v>5</v>
      </c>
      <c r="U251" t="str">
        <f>"Q"&amp;ROUNDUP(MONTH(Sales_Data[[#This Row],[Order_Date]])/3,0)</f>
        <v>Q2</v>
      </c>
      <c r="V251" t="s">
        <v>44</v>
      </c>
      <c r="W251" t="s">
        <v>65</v>
      </c>
      <c r="X251" t="s">
        <v>93</v>
      </c>
      <c r="Y251">
        <v>4</v>
      </c>
      <c r="Z251">
        <v>11</v>
      </c>
      <c r="AA251">
        <v>1</v>
      </c>
      <c r="AB251" t="s">
        <v>72</v>
      </c>
      <c r="AC251" t="s">
        <v>47</v>
      </c>
      <c r="AD251">
        <v>2025</v>
      </c>
    </row>
    <row r="252" spans="1:30" x14ac:dyDescent="0.45">
      <c r="A252" t="s">
        <v>590</v>
      </c>
      <c r="B252" t="s">
        <v>591</v>
      </c>
      <c r="C252" t="str">
        <f>_xlfn.XLOOKUP(Sales_Data[[#This Row],[Product_ID]],Product_Master[Product_ID],Product_Master[Product],"Not Found")</f>
        <v>uPVC Windows</v>
      </c>
      <c r="D252" s="3">
        <v>45749</v>
      </c>
      <c r="E252" t="s">
        <v>59</v>
      </c>
      <c r="F252" t="s">
        <v>39</v>
      </c>
      <c r="G252" t="s">
        <v>116</v>
      </c>
      <c r="H252" t="s">
        <v>71</v>
      </c>
      <c r="I252" t="s">
        <v>62</v>
      </c>
      <c r="J252" t="s">
        <v>63</v>
      </c>
      <c r="K252" t="s">
        <v>31</v>
      </c>
      <c r="L252">
        <v>1</v>
      </c>
      <c r="M252">
        <v>17468</v>
      </c>
      <c r="N252">
        <v>0.05</v>
      </c>
      <c r="O252">
        <v>17468</v>
      </c>
      <c r="P252">
        <v>873.4</v>
      </c>
      <c r="Q252">
        <v>16594.599999999999</v>
      </c>
      <c r="R252">
        <f>YEAR(Sales_Data[[#This Row],[Order_Date]])</f>
        <v>2025</v>
      </c>
      <c r="S252" t="str">
        <f>TEXT(Sales_Data[[#This Row],[Order_Date]],"mmmm")</f>
        <v>April</v>
      </c>
      <c r="T252">
        <f t="shared" si="3"/>
        <v>4</v>
      </c>
      <c r="U252" t="str">
        <f>"Q"&amp;ROUNDUP(MONTH(Sales_Data[[#This Row],[Order_Date]])/3,0)</f>
        <v>Q2</v>
      </c>
      <c r="V252" t="s">
        <v>64</v>
      </c>
      <c r="W252" t="s">
        <v>33</v>
      </c>
      <c r="X252" t="s">
        <v>45</v>
      </c>
      <c r="Y252">
        <v>5</v>
      </c>
      <c r="Z252">
        <v>12</v>
      </c>
      <c r="AA252">
        <v>4</v>
      </c>
      <c r="AB252" t="s">
        <v>77</v>
      </c>
      <c r="AC252" t="s">
        <v>47</v>
      </c>
      <c r="AD252">
        <v>2025</v>
      </c>
    </row>
    <row r="253" spans="1:30" x14ac:dyDescent="0.45">
      <c r="A253" t="s">
        <v>592</v>
      </c>
      <c r="B253" t="s">
        <v>593</v>
      </c>
      <c r="C253" t="str">
        <f>_xlfn.XLOOKUP(Sales_Data[[#This Row],[Product_ID]],Product_Master[Product_ID],Product_Master[Product],"Not Found")</f>
        <v>uPVC Doors</v>
      </c>
      <c r="D253" s="3">
        <v>45804</v>
      </c>
      <c r="E253" t="s">
        <v>25</v>
      </c>
      <c r="F253" t="s">
        <v>39</v>
      </c>
      <c r="G253" t="s">
        <v>27</v>
      </c>
      <c r="H253" t="s">
        <v>28</v>
      </c>
      <c r="I253" t="s">
        <v>107</v>
      </c>
      <c r="J253" t="s">
        <v>108</v>
      </c>
      <c r="K253" t="s">
        <v>43</v>
      </c>
      <c r="L253">
        <v>4</v>
      </c>
      <c r="M253">
        <v>31214</v>
      </c>
      <c r="N253">
        <v>0</v>
      </c>
      <c r="O253">
        <v>124856</v>
      </c>
      <c r="P253">
        <v>0</v>
      </c>
      <c r="Q253">
        <v>124856</v>
      </c>
      <c r="R253">
        <f>YEAR(Sales_Data[[#This Row],[Order_Date]])</f>
        <v>2025</v>
      </c>
      <c r="S253" t="str">
        <f>TEXT(Sales_Data[[#This Row],[Order_Date]],"mmmm")</f>
        <v>May</v>
      </c>
      <c r="T253">
        <f t="shared" si="3"/>
        <v>5</v>
      </c>
      <c r="U253" t="str">
        <f>"Q"&amp;ROUNDUP(MONTH(Sales_Data[[#This Row],[Order_Date]])/3,0)</f>
        <v>Q2</v>
      </c>
      <c r="V253" t="s">
        <v>64</v>
      </c>
      <c r="W253" t="s">
        <v>54</v>
      </c>
      <c r="X253" t="s">
        <v>45</v>
      </c>
      <c r="Y253">
        <v>7</v>
      </c>
      <c r="Z253">
        <v>10</v>
      </c>
      <c r="AA253">
        <v>5</v>
      </c>
      <c r="AB253" t="s">
        <v>72</v>
      </c>
      <c r="AC253" t="s">
        <v>47</v>
      </c>
      <c r="AD253">
        <v>2025</v>
      </c>
    </row>
    <row r="254" spans="1:30" x14ac:dyDescent="0.45">
      <c r="A254" t="s">
        <v>594</v>
      </c>
      <c r="B254" t="s">
        <v>595</v>
      </c>
      <c r="C254" t="str">
        <f>_xlfn.XLOOKUP(Sales_Data[[#This Row],[Product_ID]],Product_Master[Product_ID],Product_Master[Product],"Not Found")</f>
        <v>uPVC Doors</v>
      </c>
      <c r="D254" s="3">
        <v>45876</v>
      </c>
      <c r="E254" t="s">
        <v>25</v>
      </c>
      <c r="F254" t="s">
        <v>70</v>
      </c>
      <c r="G254" t="s">
        <v>50</v>
      </c>
      <c r="H254" t="s">
        <v>83</v>
      </c>
      <c r="I254" t="s">
        <v>107</v>
      </c>
      <c r="J254" t="s">
        <v>108</v>
      </c>
      <c r="K254" t="s">
        <v>43</v>
      </c>
      <c r="L254">
        <v>5</v>
      </c>
      <c r="M254">
        <v>34090</v>
      </c>
      <c r="N254">
        <v>0</v>
      </c>
      <c r="O254">
        <v>170450</v>
      </c>
      <c r="P254">
        <v>0</v>
      </c>
      <c r="Q254">
        <v>170450</v>
      </c>
      <c r="R254">
        <f>YEAR(Sales_Data[[#This Row],[Order_Date]])</f>
        <v>2025</v>
      </c>
      <c r="S254" t="str">
        <f>TEXT(Sales_Data[[#This Row],[Order_Date]],"mmmm")</f>
        <v>August</v>
      </c>
      <c r="T254">
        <f t="shared" si="3"/>
        <v>8</v>
      </c>
      <c r="U254" t="str">
        <f>"Q"&amp;ROUNDUP(MONTH(Sales_Data[[#This Row],[Order_Date]])/3,0)</f>
        <v>Q3</v>
      </c>
      <c r="V254" t="s">
        <v>44</v>
      </c>
      <c r="W254" t="s">
        <v>54</v>
      </c>
      <c r="X254" t="s">
        <v>45</v>
      </c>
      <c r="Y254">
        <v>5</v>
      </c>
      <c r="Z254">
        <v>22</v>
      </c>
      <c r="AA254">
        <v>4</v>
      </c>
      <c r="AB254" t="s">
        <v>123</v>
      </c>
      <c r="AC254" t="s">
        <v>90</v>
      </c>
      <c r="AD254">
        <v>2025</v>
      </c>
    </row>
    <row r="255" spans="1:30" x14ac:dyDescent="0.45">
      <c r="A255" t="s">
        <v>596</v>
      </c>
      <c r="B255" t="s">
        <v>597</v>
      </c>
      <c r="C255" t="str">
        <f>_xlfn.XLOOKUP(Sales_Data[[#This Row],[Product_ID]],Product_Master[Product_ID],Product_Master[Product],"Not Found")</f>
        <v>uPVC Windows</v>
      </c>
      <c r="D255" s="3">
        <v>45750</v>
      </c>
      <c r="E255" t="s">
        <v>59</v>
      </c>
      <c r="F255" t="s">
        <v>26</v>
      </c>
      <c r="G255" t="s">
        <v>82</v>
      </c>
      <c r="H255" t="s">
        <v>119</v>
      </c>
      <c r="I255" t="s">
        <v>62</v>
      </c>
      <c r="J255" t="s">
        <v>63</v>
      </c>
      <c r="K255" t="s">
        <v>31</v>
      </c>
      <c r="L255">
        <v>3</v>
      </c>
      <c r="M255">
        <v>18022</v>
      </c>
      <c r="N255">
        <v>0.2</v>
      </c>
      <c r="O255">
        <v>54066</v>
      </c>
      <c r="P255">
        <v>10813.2</v>
      </c>
      <c r="Q255">
        <v>43252.800000000003</v>
      </c>
      <c r="R255">
        <f>YEAR(Sales_Data[[#This Row],[Order_Date]])</f>
        <v>2025</v>
      </c>
      <c r="S255" t="str">
        <f>TEXT(Sales_Data[[#This Row],[Order_Date]],"mmmm")</f>
        <v>April</v>
      </c>
      <c r="T255">
        <f t="shared" si="3"/>
        <v>4</v>
      </c>
      <c r="U255" t="str">
        <f>"Q"&amp;ROUNDUP(MONTH(Sales_Data[[#This Row],[Order_Date]])/3,0)</f>
        <v>Q2</v>
      </c>
      <c r="V255" t="s">
        <v>32</v>
      </c>
      <c r="W255" t="s">
        <v>33</v>
      </c>
      <c r="X255" t="s">
        <v>45</v>
      </c>
      <c r="Y255">
        <v>6</v>
      </c>
      <c r="Z255">
        <v>17</v>
      </c>
      <c r="AA255">
        <v>3</v>
      </c>
      <c r="AB255" t="s">
        <v>77</v>
      </c>
      <c r="AC255" t="s">
        <v>47</v>
      </c>
      <c r="AD255">
        <v>2025</v>
      </c>
    </row>
    <row r="256" spans="1:30" x14ac:dyDescent="0.45">
      <c r="A256" t="s">
        <v>598</v>
      </c>
      <c r="B256" t="s">
        <v>599</v>
      </c>
      <c r="C256" t="str">
        <f>_xlfn.XLOOKUP(Sales_Data[[#This Row],[Product_ID]],Product_Master[Product_ID],Product_Master[Product],"Not Found")</f>
        <v>French Doors</v>
      </c>
      <c r="D256" s="3">
        <v>45829</v>
      </c>
      <c r="E256" t="s">
        <v>25</v>
      </c>
      <c r="F256" t="s">
        <v>70</v>
      </c>
      <c r="G256" t="s">
        <v>27</v>
      </c>
      <c r="H256" t="s">
        <v>119</v>
      </c>
      <c r="I256" t="s">
        <v>84</v>
      </c>
      <c r="J256" t="s">
        <v>85</v>
      </c>
      <c r="K256" t="s">
        <v>43</v>
      </c>
      <c r="L256">
        <v>5</v>
      </c>
      <c r="M256">
        <v>46931</v>
      </c>
      <c r="N256">
        <v>0.1</v>
      </c>
      <c r="O256">
        <v>234655</v>
      </c>
      <c r="P256">
        <v>23465.5</v>
      </c>
      <c r="Q256">
        <v>211189.5</v>
      </c>
      <c r="R256">
        <f>YEAR(Sales_Data[[#This Row],[Order_Date]])</f>
        <v>2025</v>
      </c>
      <c r="S256" t="str">
        <f>TEXT(Sales_Data[[#This Row],[Order_Date]],"mmmm")</f>
        <v>June</v>
      </c>
      <c r="T256">
        <f t="shared" si="3"/>
        <v>6</v>
      </c>
      <c r="U256" t="str">
        <f>"Q"&amp;ROUNDUP(MONTH(Sales_Data[[#This Row],[Order_Date]])/3,0)</f>
        <v>Q2</v>
      </c>
      <c r="V256" t="s">
        <v>32</v>
      </c>
      <c r="W256" t="s">
        <v>33</v>
      </c>
      <c r="X256" t="s">
        <v>66</v>
      </c>
      <c r="Y256">
        <v>5</v>
      </c>
      <c r="Z256">
        <v>6</v>
      </c>
      <c r="AA256">
        <v>5</v>
      </c>
      <c r="AB256" t="s">
        <v>46</v>
      </c>
      <c r="AC256" t="s">
        <v>47</v>
      </c>
      <c r="AD256">
        <v>2025</v>
      </c>
    </row>
    <row r="257" spans="1:30" x14ac:dyDescent="0.45">
      <c r="A257" t="s">
        <v>600</v>
      </c>
      <c r="B257" t="s">
        <v>601</v>
      </c>
      <c r="C257" t="str">
        <f>_xlfn.XLOOKUP(Sales_Data[[#This Row],[Product_ID]],Product_Master[Product_ID],Product_Master[Product],"Not Found")</f>
        <v>Aluminium Windows</v>
      </c>
      <c r="D257" s="3">
        <v>45684</v>
      </c>
      <c r="E257" t="s">
        <v>59</v>
      </c>
      <c r="F257" t="s">
        <v>26</v>
      </c>
      <c r="G257" t="s">
        <v>50</v>
      </c>
      <c r="H257" t="s">
        <v>112</v>
      </c>
      <c r="I257" t="s">
        <v>52</v>
      </c>
      <c r="J257" t="s">
        <v>53</v>
      </c>
      <c r="K257" t="s">
        <v>31</v>
      </c>
      <c r="L257">
        <v>4</v>
      </c>
      <c r="M257">
        <v>24548</v>
      </c>
      <c r="N257">
        <v>0</v>
      </c>
      <c r="O257">
        <v>98192</v>
      </c>
      <c r="P257">
        <v>0</v>
      </c>
      <c r="Q257">
        <v>98192</v>
      </c>
      <c r="R257">
        <f>YEAR(Sales_Data[[#This Row],[Order_Date]])</f>
        <v>2025</v>
      </c>
      <c r="S257" t="str">
        <f>TEXT(Sales_Data[[#This Row],[Order_Date]],"mmmm")</f>
        <v>January</v>
      </c>
      <c r="T257">
        <f t="shared" si="3"/>
        <v>1</v>
      </c>
      <c r="U257" t="str">
        <f>"Q"&amp;ROUNDUP(MONTH(Sales_Data[[#This Row],[Order_Date]])/3,0)</f>
        <v>Q1</v>
      </c>
      <c r="V257" t="s">
        <v>122</v>
      </c>
      <c r="W257" t="s">
        <v>65</v>
      </c>
      <c r="X257" t="s">
        <v>45</v>
      </c>
      <c r="Y257">
        <v>4</v>
      </c>
      <c r="Z257">
        <v>10</v>
      </c>
      <c r="AA257">
        <v>3</v>
      </c>
      <c r="AB257" t="s">
        <v>144</v>
      </c>
      <c r="AC257" t="s">
        <v>56</v>
      </c>
      <c r="AD257">
        <v>2025</v>
      </c>
    </row>
    <row r="258" spans="1:30" x14ac:dyDescent="0.45">
      <c r="A258" t="s">
        <v>602</v>
      </c>
      <c r="B258" t="s">
        <v>603</v>
      </c>
      <c r="C258" t="str">
        <f>_xlfn.XLOOKUP(Sales_Data[[#This Row],[Product_ID]],Product_Master[Product_ID],Product_Master[Product],"Not Found")</f>
        <v>French Doors</v>
      </c>
      <c r="D258" s="3">
        <v>46016</v>
      </c>
      <c r="E258" t="s">
        <v>25</v>
      </c>
      <c r="F258" t="s">
        <v>26</v>
      </c>
      <c r="G258" t="s">
        <v>116</v>
      </c>
      <c r="H258" t="s">
        <v>83</v>
      </c>
      <c r="I258" t="s">
        <v>84</v>
      </c>
      <c r="J258" t="s">
        <v>85</v>
      </c>
      <c r="K258" t="s">
        <v>43</v>
      </c>
      <c r="L258">
        <v>2</v>
      </c>
      <c r="M258">
        <v>45983</v>
      </c>
      <c r="N258">
        <v>0.1</v>
      </c>
      <c r="O258">
        <v>91966</v>
      </c>
      <c r="P258">
        <v>9196.6</v>
      </c>
      <c r="Q258">
        <v>82769.399999999994</v>
      </c>
      <c r="R258">
        <f>YEAR(Sales_Data[[#This Row],[Order_Date]])</f>
        <v>2025</v>
      </c>
      <c r="S258" t="str">
        <f>TEXT(Sales_Data[[#This Row],[Order_Date]],"mmmm")</f>
        <v>December</v>
      </c>
      <c r="T258">
        <f t="shared" ref="T258:T321" si="4">MONTH($D258)</f>
        <v>12</v>
      </c>
      <c r="U258" t="str">
        <f>"Q"&amp;ROUNDUP(MONTH(Sales_Data[[#This Row],[Order_Date]])/3,0)</f>
        <v>Q4</v>
      </c>
      <c r="V258" t="s">
        <v>32</v>
      </c>
      <c r="W258" t="s">
        <v>33</v>
      </c>
      <c r="X258" t="s">
        <v>66</v>
      </c>
      <c r="Y258">
        <v>3</v>
      </c>
      <c r="Z258">
        <v>27</v>
      </c>
      <c r="AA258">
        <v>4</v>
      </c>
      <c r="AB258" t="s">
        <v>113</v>
      </c>
      <c r="AC258" t="s">
        <v>36</v>
      </c>
      <c r="AD258">
        <v>2025</v>
      </c>
    </row>
    <row r="259" spans="1:30" x14ac:dyDescent="0.45">
      <c r="A259" t="s">
        <v>604</v>
      </c>
      <c r="B259" t="s">
        <v>605</v>
      </c>
      <c r="C259" t="str">
        <f>_xlfn.XLOOKUP(Sales_Data[[#This Row],[Product_ID]],Product_Master[Product_ID],Product_Master[Product],"Not Found")</f>
        <v>Aluminium Windows</v>
      </c>
      <c r="D259" s="3">
        <v>45855</v>
      </c>
      <c r="E259" t="s">
        <v>25</v>
      </c>
      <c r="F259" t="s">
        <v>26</v>
      </c>
      <c r="G259" t="s">
        <v>50</v>
      </c>
      <c r="H259" t="s">
        <v>88</v>
      </c>
      <c r="I259" t="s">
        <v>52</v>
      </c>
      <c r="J259" t="s">
        <v>53</v>
      </c>
      <c r="K259" t="s">
        <v>31</v>
      </c>
      <c r="L259">
        <v>2</v>
      </c>
      <c r="M259">
        <v>23078</v>
      </c>
      <c r="N259">
        <v>0.1</v>
      </c>
      <c r="O259">
        <v>46156</v>
      </c>
      <c r="P259">
        <v>4615.6000000000004</v>
      </c>
      <c r="Q259">
        <v>41540.400000000001</v>
      </c>
      <c r="R259">
        <f>YEAR(Sales_Data[[#This Row],[Order_Date]])</f>
        <v>2025</v>
      </c>
      <c r="S259" t="str">
        <f>TEXT(Sales_Data[[#This Row],[Order_Date]],"mmmm")</f>
        <v>July</v>
      </c>
      <c r="T259">
        <f t="shared" si="4"/>
        <v>7</v>
      </c>
      <c r="U259" t="str">
        <f>"Q"&amp;ROUNDUP(MONTH(Sales_Data[[#This Row],[Order_Date]])/3,0)</f>
        <v>Q3</v>
      </c>
      <c r="V259" t="s">
        <v>32</v>
      </c>
      <c r="W259" t="s">
        <v>54</v>
      </c>
      <c r="X259" t="s">
        <v>45</v>
      </c>
      <c r="Y259">
        <v>3</v>
      </c>
      <c r="Z259">
        <v>7</v>
      </c>
      <c r="AA259">
        <v>3</v>
      </c>
      <c r="AB259" t="s">
        <v>155</v>
      </c>
      <c r="AC259" t="s">
        <v>90</v>
      </c>
      <c r="AD259">
        <v>2025</v>
      </c>
    </row>
    <row r="260" spans="1:30" x14ac:dyDescent="0.45">
      <c r="A260" t="s">
        <v>606</v>
      </c>
      <c r="B260" t="s">
        <v>607</v>
      </c>
      <c r="C260" t="str">
        <f>_xlfn.XLOOKUP(Sales_Data[[#This Row],[Product_ID]],Product_Master[Product_ID],Product_Master[Product],"Not Found")</f>
        <v>Aluminium Windows</v>
      </c>
      <c r="D260" s="3">
        <v>45708</v>
      </c>
      <c r="E260" t="s">
        <v>59</v>
      </c>
      <c r="F260" t="s">
        <v>70</v>
      </c>
      <c r="G260" t="s">
        <v>82</v>
      </c>
      <c r="H260" t="s">
        <v>51</v>
      </c>
      <c r="I260" t="s">
        <v>52</v>
      </c>
      <c r="J260" t="s">
        <v>53</v>
      </c>
      <c r="K260" t="s">
        <v>31</v>
      </c>
      <c r="L260">
        <v>3</v>
      </c>
      <c r="M260">
        <v>20179</v>
      </c>
      <c r="N260">
        <v>0.1</v>
      </c>
      <c r="O260">
        <v>60537</v>
      </c>
      <c r="P260">
        <v>6053.7</v>
      </c>
      <c r="Q260">
        <v>54483.3</v>
      </c>
      <c r="R260">
        <f>YEAR(Sales_Data[[#This Row],[Order_Date]])</f>
        <v>2025</v>
      </c>
      <c r="S260" t="str">
        <f>TEXT(Sales_Data[[#This Row],[Order_Date]],"mmmm")</f>
        <v>February</v>
      </c>
      <c r="T260">
        <f t="shared" si="4"/>
        <v>2</v>
      </c>
      <c r="U260" t="str">
        <f>"Q"&amp;ROUNDUP(MONTH(Sales_Data[[#This Row],[Order_Date]])/3,0)</f>
        <v>Q1</v>
      </c>
      <c r="V260" t="s">
        <v>32</v>
      </c>
      <c r="W260" t="s">
        <v>33</v>
      </c>
      <c r="X260" t="s">
        <v>45</v>
      </c>
      <c r="Y260">
        <v>6</v>
      </c>
      <c r="Z260">
        <v>23</v>
      </c>
      <c r="AA260">
        <v>4</v>
      </c>
      <c r="AB260" t="s">
        <v>55</v>
      </c>
      <c r="AC260" t="s">
        <v>56</v>
      </c>
      <c r="AD260">
        <v>2025</v>
      </c>
    </row>
    <row r="261" spans="1:30" x14ac:dyDescent="0.45">
      <c r="A261" t="s">
        <v>608</v>
      </c>
      <c r="B261" t="s">
        <v>609</v>
      </c>
      <c r="C261" t="str">
        <f>_xlfn.XLOOKUP(Sales_Data[[#This Row],[Product_ID]],Product_Master[Product_ID],Product_Master[Product],"Not Found")</f>
        <v>French Doors</v>
      </c>
      <c r="D261" s="3">
        <v>45953</v>
      </c>
      <c r="E261" t="s">
        <v>59</v>
      </c>
      <c r="F261" t="s">
        <v>60</v>
      </c>
      <c r="G261" t="s">
        <v>116</v>
      </c>
      <c r="H261" t="s">
        <v>83</v>
      </c>
      <c r="I261" t="s">
        <v>84</v>
      </c>
      <c r="J261" t="s">
        <v>85</v>
      </c>
      <c r="K261" t="s">
        <v>43</v>
      </c>
      <c r="L261">
        <v>5</v>
      </c>
      <c r="M261">
        <v>46812</v>
      </c>
      <c r="N261">
        <v>0.15</v>
      </c>
      <c r="O261">
        <v>234060</v>
      </c>
      <c r="P261">
        <v>35109</v>
      </c>
      <c r="Q261">
        <v>198951</v>
      </c>
      <c r="R261">
        <f>YEAR(Sales_Data[[#This Row],[Order_Date]])</f>
        <v>2025</v>
      </c>
      <c r="S261" t="str">
        <f>TEXT(Sales_Data[[#This Row],[Order_Date]],"mmmm")</f>
        <v>October</v>
      </c>
      <c r="T261">
        <f t="shared" si="4"/>
        <v>10</v>
      </c>
      <c r="U261" t="str">
        <f>"Q"&amp;ROUNDUP(MONTH(Sales_Data[[#This Row],[Order_Date]])/3,0)</f>
        <v>Q4</v>
      </c>
      <c r="V261" t="s">
        <v>32</v>
      </c>
      <c r="W261" t="s">
        <v>33</v>
      </c>
      <c r="X261" t="s">
        <v>34</v>
      </c>
      <c r="Y261">
        <v>1</v>
      </c>
      <c r="Z261">
        <v>17</v>
      </c>
      <c r="AA261">
        <v>4</v>
      </c>
      <c r="AB261" t="s">
        <v>35</v>
      </c>
      <c r="AC261" t="s">
        <v>36</v>
      </c>
      <c r="AD261">
        <v>2025</v>
      </c>
    </row>
    <row r="262" spans="1:30" x14ac:dyDescent="0.45">
      <c r="A262" t="s">
        <v>610</v>
      </c>
      <c r="B262" t="s">
        <v>611</v>
      </c>
      <c r="C262" t="str">
        <f>_xlfn.XLOOKUP(Sales_Data[[#This Row],[Product_ID]],Product_Master[Product_ID],Product_Master[Product],"Not Found")</f>
        <v>French Doors</v>
      </c>
      <c r="D262" s="3">
        <v>46005</v>
      </c>
      <c r="E262" t="s">
        <v>59</v>
      </c>
      <c r="F262" t="s">
        <v>70</v>
      </c>
      <c r="G262" t="s">
        <v>40</v>
      </c>
      <c r="H262" t="s">
        <v>119</v>
      </c>
      <c r="I262" t="s">
        <v>84</v>
      </c>
      <c r="J262" t="s">
        <v>85</v>
      </c>
      <c r="K262" t="s">
        <v>43</v>
      </c>
      <c r="L262">
        <v>3</v>
      </c>
      <c r="M262">
        <v>46895</v>
      </c>
      <c r="N262">
        <v>0.05</v>
      </c>
      <c r="O262">
        <v>140685</v>
      </c>
      <c r="P262">
        <v>7034.25</v>
      </c>
      <c r="Q262">
        <v>133650.75</v>
      </c>
      <c r="R262">
        <f>YEAR(Sales_Data[[#This Row],[Order_Date]])</f>
        <v>2025</v>
      </c>
      <c r="S262" t="str">
        <f>TEXT(Sales_Data[[#This Row],[Order_Date]],"mmmm")</f>
        <v>December</v>
      </c>
      <c r="T262">
        <f t="shared" si="4"/>
        <v>12</v>
      </c>
      <c r="U262" t="str">
        <f>"Q"&amp;ROUNDUP(MONTH(Sales_Data[[#This Row],[Order_Date]])/3,0)</f>
        <v>Q4</v>
      </c>
      <c r="V262" t="s">
        <v>98</v>
      </c>
      <c r="W262" t="s">
        <v>54</v>
      </c>
      <c r="X262" t="s">
        <v>66</v>
      </c>
      <c r="Y262">
        <v>7</v>
      </c>
      <c r="Z262">
        <v>11</v>
      </c>
      <c r="AA262">
        <v>2</v>
      </c>
      <c r="AB262" t="s">
        <v>113</v>
      </c>
      <c r="AC262" t="s">
        <v>36</v>
      </c>
      <c r="AD262">
        <v>2025</v>
      </c>
    </row>
    <row r="263" spans="1:30" x14ac:dyDescent="0.45">
      <c r="A263" t="s">
        <v>612</v>
      </c>
      <c r="B263" t="s">
        <v>613</v>
      </c>
      <c r="C263" t="str">
        <f>_xlfn.XLOOKUP(Sales_Data[[#This Row],[Product_ID]],Product_Master[Product_ID],Product_Master[Product],"Not Found")</f>
        <v>uPVC Windows</v>
      </c>
      <c r="D263" s="3">
        <v>45838</v>
      </c>
      <c r="E263" t="s">
        <v>59</v>
      </c>
      <c r="F263" t="s">
        <v>39</v>
      </c>
      <c r="G263" t="s">
        <v>61</v>
      </c>
      <c r="H263" t="s">
        <v>112</v>
      </c>
      <c r="I263" t="s">
        <v>62</v>
      </c>
      <c r="J263" t="s">
        <v>63</v>
      </c>
      <c r="K263" t="s">
        <v>31</v>
      </c>
      <c r="L263">
        <v>5</v>
      </c>
      <c r="M263">
        <v>18943</v>
      </c>
      <c r="N263">
        <v>0.15</v>
      </c>
      <c r="O263">
        <v>94715</v>
      </c>
      <c r="P263">
        <v>14207.25</v>
      </c>
      <c r="Q263">
        <v>80507.75</v>
      </c>
      <c r="R263">
        <f>YEAR(Sales_Data[[#This Row],[Order_Date]])</f>
        <v>2025</v>
      </c>
      <c r="S263" t="str">
        <f>TEXT(Sales_Data[[#This Row],[Order_Date]],"mmmm")</f>
        <v>June</v>
      </c>
      <c r="T263">
        <f t="shared" si="4"/>
        <v>6</v>
      </c>
      <c r="U263" t="str">
        <f>"Q"&amp;ROUNDUP(MONTH(Sales_Data[[#This Row],[Order_Date]])/3,0)</f>
        <v>Q2</v>
      </c>
      <c r="V263" t="s">
        <v>44</v>
      </c>
      <c r="W263" t="s">
        <v>33</v>
      </c>
      <c r="X263" t="s">
        <v>45</v>
      </c>
      <c r="Y263">
        <v>5</v>
      </c>
      <c r="Z263">
        <v>30</v>
      </c>
      <c r="AA263">
        <v>4</v>
      </c>
      <c r="AB263" t="s">
        <v>46</v>
      </c>
      <c r="AC263" t="s">
        <v>47</v>
      </c>
      <c r="AD263">
        <v>2025</v>
      </c>
    </row>
    <row r="264" spans="1:30" x14ac:dyDescent="0.45">
      <c r="A264" t="s">
        <v>614</v>
      </c>
      <c r="B264" t="s">
        <v>615</v>
      </c>
      <c r="C264" t="str">
        <f>_xlfn.XLOOKUP(Sales_Data[[#This Row],[Product_ID]],Product_Master[Product_ID],Product_Master[Product],"Not Found")</f>
        <v>uPVC Doors</v>
      </c>
      <c r="D264" s="3">
        <v>45774</v>
      </c>
      <c r="E264" t="s">
        <v>25</v>
      </c>
      <c r="F264" t="s">
        <v>70</v>
      </c>
      <c r="G264" t="s">
        <v>40</v>
      </c>
      <c r="H264" t="s">
        <v>28</v>
      </c>
      <c r="I264" t="s">
        <v>107</v>
      </c>
      <c r="J264" t="s">
        <v>108</v>
      </c>
      <c r="K264" t="s">
        <v>43</v>
      </c>
      <c r="L264">
        <v>2</v>
      </c>
      <c r="M264">
        <v>31737</v>
      </c>
      <c r="N264">
        <v>0.1</v>
      </c>
      <c r="O264">
        <v>63474</v>
      </c>
      <c r="P264">
        <v>6347.4</v>
      </c>
      <c r="Q264">
        <v>57126.6</v>
      </c>
      <c r="R264">
        <f>YEAR(Sales_Data[[#This Row],[Order_Date]])</f>
        <v>2025</v>
      </c>
      <c r="S264" t="str">
        <f>TEXT(Sales_Data[[#This Row],[Order_Date]],"mmmm")</f>
        <v>April</v>
      </c>
      <c r="T264">
        <f t="shared" si="4"/>
        <v>4</v>
      </c>
      <c r="U264" t="str">
        <f>"Q"&amp;ROUNDUP(MONTH(Sales_Data[[#This Row],[Order_Date]])/3,0)</f>
        <v>Q2</v>
      </c>
      <c r="V264" t="s">
        <v>44</v>
      </c>
      <c r="W264" t="s">
        <v>33</v>
      </c>
      <c r="X264" t="s">
        <v>45</v>
      </c>
      <c r="Y264">
        <v>4</v>
      </c>
      <c r="Z264">
        <v>29</v>
      </c>
      <c r="AA264">
        <v>2</v>
      </c>
      <c r="AB264" t="s">
        <v>77</v>
      </c>
      <c r="AC264" t="s">
        <v>47</v>
      </c>
      <c r="AD264">
        <v>2025</v>
      </c>
    </row>
    <row r="265" spans="1:30" x14ac:dyDescent="0.45">
      <c r="A265" t="s">
        <v>616</v>
      </c>
      <c r="B265" t="s">
        <v>617</v>
      </c>
      <c r="C265" t="str">
        <f>_xlfn.XLOOKUP(Sales_Data[[#This Row],[Product_ID]],Product_Master[Product_ID],Product_Master[Product],"Not Found")</f>
        <v>Casement Windows</v>
      </c>
      <c r="D265" s="3">
        <v>45706</v>
      </c>
      <c r="E265" t="s">
        <v>59</v>
      </c>
      <c r="F265" t="s">
        <v>70</v>
      </c>
      <c r="G265" t="s">
        <v>111</v>
      </c>
      <c r="H265" t="s">
        <v>112</v>
      </c>
      <c r="I265" t="s">
        <v>75</v>
      </c>
      <c r="J265" t="s">
        <v>76</v>
      </c>
      <c r="K265" t="s">
        <v>31</v>
      </c>
      <c r="L265">
        <v>4</v>
      </c>
      <c r="M265">
        <v>25126</v>
      </c>
      <c r="N265">
        <v>0.15</v>
      </c>
      <c r="O265">
        <v>100504</v>
      </c>
      <c r="P265">
        <v>15075.6</v>
      </c>
      <c r="Q265">
        <v>85428.4</v>
      </c>
      <c r="R265">
        <f>YEAR(Sales_Data[[#This Row],[Order_Date]])</f>
        <v>2025</v>
      </c>
      <c r="S265" t="str">
        <f>TEXT(Sales_Data[[#This Row],[Order_Date]],"mmmm")</f>
        <v>February</v>
      </c>
      <c r="T265">
        <f t="shared" si="4"/>
        <v>2</v>
      </c>
      <c r="U265" t="str">
        <f>"Q"&amp;ROUNDUP(MONTH(Sales_Data[[#This Row],[Order_Date]])/3,0)</f>
        <v>Q1</v>
      </c>
      <c r="V265" t="s">
        <v>32</v>
      </c>
      <c r="W265" t="s">
        <v>54</v>
      </c>
      <c r="X265" t="s">
        <v>45</v>
      </c>
      <c r="Y265">
        <v>2</v>
      </c>
      <c r="Z265">
        <v>19</v>
      </c>
      <c r="AA265">
        <v>3</v>
      </c>
      <c r="AB265" t="s">
        <v>55</v>
      </c>
      <c r="AC265" t="s">
        <v>56</v>
      </c>
      <c r="AD265">
        <v>2025</v>
      </c>
    </row>
    <row r="266" spans="1:30" x14ac:dyDescent="0.45">
      <c r="A266" t="s">
        <v>618</v>
      </c>
      <c r="B266" t="s">
        <v>619</v>
      </c>
      <c r="C266" t="str">
        <f>_xlfn.XLOOKUP(Sales_Data[[#This Row],[Product_ID]],Product_Master[Product_ID],Product_Master[Product],"Not Found")</f>
        <v>Bi-Fold Doors</v>
      </c>
      <c r="D266" s="3">
        <v>45860</v>
      </c>
      <c r="E266" t="s">
        <v>25</v>
      </c>
      <c r="F266" t="s">
        <v>60</v>
      </c>
      <c r="G266" t="s">
        <v>111</v>
      </c>
      <c r="H266" t="s">
        <v>119</v>
      </c>
      <c r="I266" t="s">
        <v>41</v>
      </c>
      <c r="J266" t="s">
        <v>42</v>
      </c>
      <c r="K266" t="s">
        <v>43</v>
      </c>
      <c r="L266">
        <v>3</v>
      </c>
      <c r="M266">
        <v>52566</v>
      </c>
      <c r="N266">
        <v>0.05</v>
      </c>
      <c r="O266">
        <v>157698</v>
      </c>
      <c r="P266">
        <v>7884.9</v>
      </c>
      <c r="Q266">
        <v>149813.1</v>
      </c>
      <c r="R266">
        <f>YEAR(Sales_Data[[#This Row],[Order_Date]])</f>
        <v>2025</v>
      </c>
      <c r="S266" t="str">
        <f>TEXT(Sales_Data[[#This Row],[Order_Date]],"mmmm")</f>
        <v>July</v>
      </c>
      <c r="T266">
        <f t="shared" si="4"/>
        <v>7</v>
      </c>
      <c r="U266" t="str">
        <f>"Q"&amp;ROUNDUP(MONTH(Sales_Data[[#This Row],[Order_Date]])/3,0)</f>
        <v>Q3</v>
      </c>
      <c r="V266" t="s">
        <v>32</v>
      </c>
      <c r="W266" t="s">
        <v>65</v>
      </c>
      <c r="X266" t="s">
        <v>66</v>
      </c>
      <c r="Y266">
        <v>7</v>
      </c>
      <c r="Z266">
        <v>7</v>
      </c>
      <c r="AA266">
        <v>4</v>
      </c>
      <c r="AB266" t="s">
        <v>155</v>
      </c>
      <c r="AC266" t="s">
        <v>90</v>
      </c>
      <c r="AD266">
        <v>2025</v>
      </c>
    </row>
    <row r="267" spans="1:30" x14ac:dyDescent="0.45">
      <c r="A267" t="s">
        <v>620</v>
      </c>
      <c r="B267" t="s">
        <v>621</v>
      </c>
      <c r="C267" t="str">
        <f>_xlfn.XLOOKUP(Sales_Data[[#This Row],[Product_ID]],Product_Master[Product_ID],Product_Master[Product],"Not Found")</f>
        <v>French Doors</v>
      </c>
      <c r="D267" s="3">
        <v>45760</v>
      </c>
      <c r="E267" t="s">
        <v>59</v>
      </c>
      <c r="F267" t="s">
        <v>70</v>
      </c>
      <c r="G267" t="s">
        <v>40</v>
      </c>
      <c r="H267" t="s">
        <v>51</v>
      </c>
      <c r="I267" t="s">
        <v>84</v>
      </c>
      <c r="J267" t="s">
        <v>85</v>
      </c>
      <c r="K267" t="s">
        <v>43</v>
      </c>
      <c r="L267">
        <v>1</v>
      </c>
      <c r="M267">
        <v>47374</v>
      </c>
      <c r="N267">
        <v>0.05</v>
      </c>
      <c r="O267">
        <v>47374</v>
      </c>
      <c r="P267">
        <v>2368.6999999999998</v>
      </c>
      <c r="Q267">
        <v>45005.3</v>
      </c>
      <c r="R267">
        <f>YEAR(Sales_Data[[#This Row],[Order_Date]])</f>
        <v>2025</v>
      </c>
      <c r="S267" t="str">
        <f>TEXT(Sales_Data[[#This Row],[Order_Date]],"mmmm")</f>
        <v>April</v>
      </c>
      <c r="T267">
        <f t="shared" si="4"/>
        <v>4</v>
      </c>
      <c r="U267" t="str">
        <f>"Q"&amp;ROUNDUP(MONTH(Sales_Data[[#This Row],[Order_Date]])/3,0)</f>
        <v>Q2</v>
      </c>
      <c r="V267" t="s">
        <v>98</v>
      </c>
      <c r="W267" t="s">
        <v>65</v>
      </c>
      <c r="X267" t="s">
        <v>45</v>
      </c>
      <c r="Y267">
        <v>5</v>
      </c>
      <c r="Z267">
        <v>13</v>
      </c>
      <c r="AA267">
        <v>4</v>
      </c>
      <c r="AB267" t="s">
        <v>77</v>
      </c>
      <c r="AC267" t="s">
        <v>47</v>
      </c>
      <c r="AD267">
        <v>2025</v>
      </c>
    </row>
    <row r="268" spans="1:30" x14ac:dyDescent="0.45">
      <c r="A268" t="s">
        <v>622</v>
      </c>
      <c r="B268" t="s">
        <v>623</v>
      </c>
      <c r="C268" t="str">
        <f>_xlfn.XLOOKUP(Sales_Data[[#This Row],[Product_ID]],Product_Master[Product_ID],Product_Master[Product],"Not Found")</f>
        <v>French Doors</v>
      </c>
      <c r="D268" s="3">
        <v>45887</v>
      </c>
      <c r="E268" t="s">
        <v>25</v>
      </c>
      <c r="F268" t="s">
        <v>60</v>
      </c>
      <c r="G268" t="s">
        <v>82</v>
      </c>
      <c r="H268" t="s">
        <v>71</v>
      </c>
      <c r="I268" t="s">
        <v>84</v>
      </c>
      <c r="J268" t="s">
        <v>85</v>
      </c>
      <c r="K268" t="s">
        <v>43</v>
      </c>
      <c r="L268">
        <v>5</v>
      </c>
      <c r="M268">
        <v>47742</v>
      </c>
      <c r="N268">
        <v>0.05</v>
      </c>
      <c r="O268">
        <v>238710</v>
      </c>
      <c r="P268">
        <v>11935.5</v>
      </c>
      <c r="Q268">
        <v>226774.5</v>
      </c>
      <c r="R268">
        <f>YEAR(Sales_Data[[#This Row],[Order_Date]])</f>
        <v>2025</v>
      </c>
      <c r="S268" t="str">
        <f>TEXT(Sales_Data[[#This Row],[Order_Date]],"mmmm")</f>
        <v>August</v>
      </c>
      <c r="T268">
        <f t="shared" si="4"/>
        <v>8</v>
      </c>
      <c r="U268" t="str">
        <f>"Q"&amp;ROUNDUP(MONTH(Sales_Data[[#This Row],[Order_Date]])/3,0)</f>
        <v>Q3</v>
      </c>
      <c r="V268" t="s">
        <v>32</v>
      </c>
      <c r="W268" t="s">
        <v>54</v>
      </c>
      <c r="X268" t="s">
        <v>93</v>
      </c>
      <c r="Y268">
        <v>5</v>
      </c>
      <c r="Z268">
        <v>18</v>
      </c>
      <c r="AA268">
        <v>5</v>
      </c>
      <c r="AB268" t="s">
        <v>123</v>
      </c>
      <c r="AC268" t="s">
        <v>90</v>
      </c>
      <c r="AD268">
        <v>2025</v>
      </c>
    </row>
    <row r="269" spans="1:30" x14ac:dyDescent="0.45">
      <c r="A269" t="s">
        <v>624</v>
      </c>
      <c r="B269" t="s">
        <v>625</v>
      </c>
      <c r="C269" t="str">
        <f>_xlfn.XLOOKUP(Sales_Data[[#This Row],[Product_ID]],Product_Master[Product_ID],Product_Master[Product],"Not Found")</f>
        <v>Casement Windows</v>
      </c>
      <c r="D269" s="3">
        <v>46003</v>
      </c>
      <c r="E269" t="s">
        <v>59</v>
      </c>
      <c r="F269" t="s">
        <v>60</v>
      </c>
      <c r="G269" t="s">
        <v>139</v>
      </c>
      <c r="H269" t="s">
        <v>119</v>
      </c>
      <c r="I269" t="s">
        <v>75</v>
      </c>
      <c r="J269" t="s">
        <v>76</v>
      </c>
      <c r="K269" t="s">
        <v>31</v>
      </c>
      <c r="L269">
        <v>6</v>
      </c>
      <c r="M269">
        <v>25395</v>
      </c>
      <c r="N269">
        <v>0</v>
      </c>
      <c r="O269">
        <v>152370</v>
      </c>
      <c r="P269">
        <v>0</v>
      </c>
      <c r="Q269">
        <v>152370</v>
      </c>
      <c r="R269">
        <f>YEAR(Sales_Data[[#This Row],[Order_Date]])</f>
        <v>2025</v>
      </c>
      <c r="S269" t="str">
        <f>TEXT(Sales_Data[[#This Row],[Order_Date]],"mmmm")</f>
        <v>December</v>
      </c>
      <c r="T269">
        <f t="shared" si="4"/>
        <v>12</v>
      </c>
      <c r="U269" t="str">
        <f>"Q"&amp;ROUNDUP(MONTH(Sales_Data[[#This Row],[Order_Date]])/3,0)</f>
        <v>Q4</v>
      </c>
      <c r="V269" t="s">
        <v>32</v>
      </c>
      <c r="W269" t="s">
        <v>33</v>
      </c>
      <c r="X269" t="s">
        <v>45</v>
      </c>
      <c r="Y269">
        <v>7</v>
      </c>
      <c r="Z269">
        <v>17</v>
      </c>
      <c r="AA269">
        <v>4</v>
      </c>
      <c r="AB269" t="s">
        <v>113</v>
      </c>
      <c r="AC269" t="s">
        <v>36</v>
      </c>
      <c r="AD269">
        <v>2025</v>
      </c>
    </row>
    <row r="270" spans="1:30" x14ac:dyDescent="0.45">
      <c r="A270" t="s">
        <v>626</v>
      </c>
      <c r="B270" t="s">
        <v>627</v>
      </c>
      <c r="C270" t="str">
        <f>_xlfn.XLOOKUP(Sales_Data[[#This Row],[Product_ID]],Product_Master[Product_ID],Product_Master[Product],"Not Found")</f>
        <v>uPVC Doors</v>
      </c>
      <c r="D270" s="3">
        <v>45892</v>
      </c>
      <c r="E270" t="s">
        <v>25</v>
      </c>
      <c r="F270" t="s">
        <v>26</v>
      </c>
      <c r="G270" t="s">
        <v>27</v>
      </c>
      <c r="H270" t="s">
        <v>119</v>
      </c>
      <c r="I270" t="s">
        <v>107</v>
      </c>
      <c r="J270" t="s">
        <v>108</v>
      </c>
      <c r="K270" t="s">
        <v>43</v>
      </c>
      <c r="L270">
        <v>5</v>
      </c>
      <c r="M270">
        <v>33520</v>
      </c>
      <c r="N270">
        <v>0.1</v>
      </c>
      <c r="O270">
        <v>167600</v>
      </c>
      <c r="P270">
        <v>16760</v>
      </c>
      <c r="Q270">
        <v>150840</v>
      </c>
      <c r="R270">
        <f>YEAR(Sales_Data[[#This Row],[Order_Date]])</f>
        <v>2025</v>
      </c>
      <c r="S270" t="str">
        <f>TEXT(Sales_Data[[#This Row],[Order_Date]],"mmmm")</f>
        <v>August</v>
      </c>
      <c r="T270">
        <f t="shared" si="4"/>
        <v>8</v>
      </c>
      <c r="U270" t="str">
        <f>"Q"&amp;ROUNDUP(MONTH(Sales_Data[[#This Row],[Order_Date]])/3,0)</f>
        <v>Q3</v>
      </c>
      <c r="V270" t="s">
        <v>32</v>
      </c>
      <c r="W270" t="s">
        <v>54</v>
      </c>
      <c r="X270" t="s">
        <v>45</v>
      </c>
      <c r="Y270">
        <v>1</v>
      </c>
      <c r="Z270">
        <v>25</v>
      </c>
      <c r="AA270">
        <v>5</v>
      </c>
      <c r="AB270" t="s">
        <v>123</v>
      </c>
      <c r="AC270" t="s">
        <v>90</v>
      </c>
      <c r="AD270">
        <v>2025</v>
      </c>
    </row>
    <row r="271" spans="1:30" x14ac:dyDescent="0.45">
      <c r="A271" t="s">
        <v>628</v>
      </c>
      <c r="B271" t="s">
        <v>629</v>
      </c>
      <c r="C271" t="str">
        <f>_xlfn.XLOOKUP(Sales_Data[[#This Row],[Product_ID]],Product_Master[Product_ID],Product_Master[Product],"Not Found")</f>
        <v>Aluminium Windows</v>
      </c>
      <c r="D271" s="3">
        <v>45821</v>
      </c>
      <c r="E271" t="s">
        <v>59</v>
      </c>
      <c r="F271" t="s">
        <v>39</v>
      </c>
      <c r="G271" t="s">
        <v>82</v>
      </c>
      <c r="H271" t="s">
        <v>119</v>
      </c>
      <c r="I271" t="s">
        <v>52</v>
      </c>
      <c r="J271" t="s">
        <v>53</v>
      </c>
      <c r="K271" t="s">
        <v>31</v>
      </c>
      <c r="L271">
        <v>1</v>
      </c>
      <c r="M271">
        <v>20493</v>
      </c>
      <c r="N271">
        <v>0</v>
      </c>
      <c r="O271">
        <v>20493</v>
      </c>
      <c r="P271">
        <v>0</v>
      </c>
      <c r="Q271">
        <v>20493</v>
      </c>
      <c r="R271">
        <f>YEAR(Sales_Data[[#This Row],[Order_Date]])</f>
        <v>2025</v>
      </c>
      <c r="S271" t="str">
        <f>TEXT(Sales_Data[[#This Row],[Order_Date]],"mmmm")</f>
        <v>June</v>
      </c>
      <c r="T271">
        <f t="shared" si="4"/>
        <v>6</v>
      </c>
      <c r="U271" t="str">
        <f>"Q"&amp;ROUNDUP(MONTH(Sales_Data[[#This Row],[Order_Date]])/3,0)</f>
        <v>Q2</v>
      </c>
      <c r="V271" t="s">
        <v>122</v>
      </c>
      <c r="W271" t="s">
        <v>65</v>
      </c>
      <c r="X271" t="s">
        <v>45</v>
      </c>
      <c r="Y271">
        <v>6</v>
      </c>
      <c r="Z271">
        <v>7</v>
      </c>
      <c r="AA271">
        <v>5</v>
      </c>
      <c r="AB271" t="s">
        <v>46</v>
      </c>
      <c r="AC271" t="s">
        <v>47</v>
      </c>
      <c r="AD271">
        <v>2025</v>
      </c>
    </row>
    <row r="272" spans="1:30" x14ac:dyDescent="0.45">
      <c r="A272" t="s">
        <v>630</v>
      </c>
      <c r="B272" t="s">
        <v>631</v>
      </c>
      <c r="C272" t="str">
        <f>_xlfn.XLOOKUP(Sales_Data[[#This Row],[Product_ID]],Product_Master[Product_ID],Product_Master[Product],"Not Found")</f>
        <v>Aluminium Windows</v>
      </c>
      <c r="D272" s="3">
        <v>45983</v>
      </c>
      <c r="E272" t="s">
        <v>59</v>
      </c>
      <c r="F272" t="s">
        <v>26</v>
      </c>
      <c r="G272" t="s">
        <v>50</v>
      </c>
      <c r="H272" t="s">
        <v>112</v>
      </c>
      <c r="I272" t="s">
        <v>52</v>
      </c>
      <c r="J272" t="s">
        <v>53</v>
      </c>
      <c r="K272" t="s">
        <v>31</v>
      </c>
      <c r="L272">
        <v>5</v>
      </c>
      <c r="M272">
        <v>24098</v>
      </c>
      <c r="N272">
        <v>0.1</v>
      </c>
      <c r="O272">
        <v>120490</v>
      </c>
      <c r="P272">
        <v>12049</v>
      </c>
      <c r="Q272">
        <v>108441</v>
      </c>
      <c r="R272">
        <f>YEAR(Sales_Data[[#This Row],[Order_Date]])</f>
        <v>2025</v>
      </c>
      <c r="S272" t="str">
        <f>TEXT(Sales_Data[[#This Row],[Order_Date]],"mmmm")</f>
        <v>November</v>
      </c>
      <c r="T272">
        <f t="shared" si="4"/>
        <v>11</v>
      </c>
      <c r="U272" t="str">
        <f>"Q"&amp;ROUNDUP(MONTH(Sales_Data[[#This Row],[Order_Date]])/3,0)</f>
        <v>Q4</v>
      </c>
      <c r="V272" t="s">
        <v>64</v>
      </c>
      <c r="W272" t="s">
        <v>54</v>
      </c>
      <c r="X272" t="s">
        <v>45</v>
      </c>
      <c r="Y272">
        <v>1</v>
      </c>
      <c r="Z272">
        <v>5</v>
      </c>
      <c r="AA272">
        <v>4</v>
      </c>
      <c r="AB272" t="s">
        <v>67</v>
      </c>
      <c r="AC272" t="s">
        <v>36</v>
      </c>
      <c r="AD272">
        <v>2025</v>
      </c>
    </row>
    <row r="273" spans="1:30" x14ac:dyDescent="0.45">
      <c r="A273" t="s">
        <v>632</v>
      </c>
      <c r="B273" t="s">
        <v>633</v>
      </c>
      <c r="C273" t="str">
        <f>_xlfn.XLOOKUP(Sales_Data[[#This Row],[Product_ID]],Product_Master[Product_ID],Product_Master[Product],"Not Found")</f>
        <v>uPVC Windows</v>
      </c>
      <c r="D273" s="3">
        <v>45774</v>
      </c>
      <c r="E273" t="s">
        <v>59</v>
      </c>
      <c r="F273" t="s">
        <v>60</v>
      </c>
      <c r="G273" t="s">
        <v>139</v>
      </c>
      <c r="H273" t="s">
        <v>119</v>
      </c>
      <c r="I273" t="s">
        <v>62</v>
      </c>
      <c r="J273" t="s">
        <v>63</v>
      </c>
      <c r="K273" t="s">
        <v>31</v>
      </c>
      <c r="L273">
        <v>4</v>
      </c>
      <c r="M273">
        <v>20492</v>
      </c>
      <c r="N273">
        <v>0.05</v>
      </c>
      <c r="O273">
        <v>81968</v>
      </c>
      <c r="P273">
        <v>4098.3999999999996</v>
      </c>
      <c r="Q273">
        <v>77869.600000000006</v>
      </c>
      <c r="R273">
        <f>YEAR(Sales_Data[[#This Row],[Order_Date]])</f>
        <v>2025</v>
      </c>
      <c r="S273" t="str">
        <f>TEXT(Sales_Data[[#This Row],[Order_Date]],"mmmm")</f>
        <v>April</v>
      </c>
      <c r="T273">
        <f t="shared" si="4"/>
        <v>4</v>
      </c>
      <c r="U273" t="str">
        <f>"Q"&amp;ROUNDUP(MONTH(Sales_Data[[#This Row],[Order_Date]])/3,0)</f>
        <v>Q2</v>
      </c>
      <c r="V273" t="s">
        <v>32</v>
      </c>
      <c r="W273" t="s">
        <v>65</v>
      </c>
      <c r="X273" t="s">
        <v>45</v>
      </c>
      <c r="Y273">
        <v>5</v>
      </c>
      <c r="Z273">
        <v>5</v>
      </c>
      <c r="AA273">
        <v>1</v>
      </c>
      <c r="AB273" t="s">
        <v>77</v>
      </c>
      <c r="AC273" t="s">
        <v>47</v>
      </c>
      <c r="AD273">
        <v>2025</v>
      </c>
    </row>
    <row r="274" spans="1:30" x14ac:dyDescent="0.45">
      <c r="A274" t="s">
        <v>634</v>
      </c>
      <c r="B274" t="s">
        <v>635</v>
      </c>
      <c r="C274" t="str">
        <f>_xlfn.XLOOKUP(Sales_Data[[#This Row],[Product_ID]],Product_Master[Product_ID],Product_Master[Product],"Not Found")</f>
        <v>Aluminium Windows</v>
      </c>
      <c r="D274" s="3">
        <v>45692</v>
      </c>
      <c r="E274" t="s">
        <v>59</v>
      </c>
      <c r="F274" t="s">
        <v>39</v>
      </c>
      <c r="G274" t="s">
        <v>40</v>
      </c>
      <c r="H274" t="s">
        <v>112</v>
      </c>
      <c r="I274" t="s">
        <v>52</v>
      </c>
      <c r="J274" t="s">
        <v>53</v>
      </c>
      <c r="K274" t="s">
        <v>31</v>
      </c>
      <c r="L274">
        <v>4</v>
      </c>
      <c r="M274">
        <v>21022</v>
      </c>
      <c r="N274">
        <v>0.05</v>
      </c>
      <c r="O274">
        <v>84088</v>
      </c>
      <c r="P274">
        <v>4204.3999999999996</v>
      </c>
      <c r="Q274">
        <v>79883.600000000006</v>
      </c>
      <c r="R274">
        <f>YEAR(Sales_Data[[#This Row],[Order_Date]])</f>
        <v>2025</v>
      </c>
      <c r="S274" t="str">
        <f>TEXT(Sales_Data[[#This Row],[Order_Date]],"mmmm")</f>
        <v>February</v>
      </c>
      <c r="T274">
        <f t="shared" si="4"/>
        <v>2</v>
      </c>
      <c r="U274" t="str">
        <f>"Q"&amp;ROUNDUP(MONTH(Sales_Data[[#This Row],[Order_Date]])/3,0)</f>
        <v>Q1</v>
      </c>
      <c r="V274" t="s">
        <v>98</v>
      </c>
      <c r="W274" t="s">
        <v>33</v>
      </c>
      <c r="X274" t="s">
        <v>45</v>
      </c>
      <c r="Y274">
        <v>1</v>
      </c>
      <c r="Z274">
        <v>19</v>
      </c>
      <c r="AA274">
        <v>4</v>
      </c>
      <c r="AB274" t="s">
        <v>55</v>
      </c>
      <c r="AC274" t="s">
        <v>56</v>
      </c>
      <c r="AD274">
        <v>2025</v>
      </c>
    </row>
    <row r="275" spans="1:30" x14ac:dyDescent="0.45">
      <c r="A275" t="s">
        <v>636</v>
      </c>
      <c r="B275" t="s">
        <v>637</v>
      </c>
      <c r="C275" t="str">
        <f>_xlfn.XLOOKUP(Sales_Data[[#This Row],[Product_ID]],Product_Master[Product_ID],Product_Master[Product],"Not Found")</f>
        <v>French Doors</v>
      </c>
      <c r="D275" s="3">
        <v>45956</v>
      </c>
      <c r="E275" t="s">
        <v>25</v>
      </c>
      <c r="F275" t="s">
        <v>26</v>
      </c>
      <c r="G275" t="s">
        <v>139</v>
      </c>
      <c r="H275" t="s">
        <v>71</v>
      </c>
      <c r="I275" t="s">
        <v>84</v>
      </c>
      <c r="J275" t="s">
        <v>85</v>
      </c>
      <c r="K275" t="s">
        <v>43</v>
      </c>
      <c r="L275">
        <v>5</v>
      </c>
      <c r="M275">
        <v>42057</v>
      </c>
      <c r="N275">
        <v>0.2</v>
      </c>
      <c r="O275">
        <v>210285</v>
      </c>
      <c r="P275">
        <v>42057</v>
      </c>
      <c r="Q275">
        <v>168228</v>
      </c>
      <c r="R275">
        <f>YEAR(Sales_Data[[#This Row],[Order_Date]])</f>
        <v>2025</v>
      </c>
      <c r="S275" t="str">
        <f>TEXT(Sales_Data[[#This Row],[Order_Date]],"mmmm")</f>
        <v>October</v>
      </c>
      <c r="T275">
        <f t="shared" si="4"/>
        <v>10</v>
      </c>
      <c r="U275" t="str">
        <f>"Q"&amp;ROUNDUP(MONTH(Sales_Data[[#This Row],[Order_Date]])/3,0)</f>
        <v>Q4</v>
      </c>
      <c r="V275" t="s">
        <v>32</v>
      </c>
      <c r="W275" t="s">
        <v>33</v>
      </c>
      <c r="X275" t="s">
        <v>45</v>
      </c>
      <c r="Y275">
        <v>3</v>
      </c>
      <c r="Z275">
        <v>16</v>
      </c>
      <c r="AA275">
        <v>3</v>
      </c>
      <c r="AB275" t="s">
        <v>35</v>
      </c>
      <c r="AC275" t="s">
        <v>36</v>
      </c>
      <c r="AD275">
        <v>2025</v>
      </c>
    </row>
    <row r="276" spans="1:30" x14ac:dyDescent="0.45">
      <c r="A276" t="s">
        <v>638</v>
      </c>
      <c r="B276" t="s">
        <v>639</v>
      </c>
      <c r="C276" t="str">
        <f>_xlfn.XLOOKUP(Sales_Data[[#This Row],[Product_ID]],Product_Master[Product_ID],Product_Master[Product],"Not Found")</f>
        <v>Aluminium Windows</v>
      </c>
      <c r="D276" s="3">
        <v>45818</v>
      </c>
      <c r="E276" t="s">
        <v>59</v>
      </c>
      <c r="F276" t="s">
        <v>70</v>
      </c>
      <c r="G276" t="s">
        <v>61</v>
      </c>
      <c r="H276" t="s">
        <v>83</v>
      </c>
      <c r="I276" t="s">
        <v>52</v>
      </c>
      <c r="J276" t="s">
        <v>53</v>
      </c>
      <c r="K276" t="s">
        <v>31</v>
      </c>
      <c r="L276">
        <v>5</v>
      </c>
      <c r="M276">
        <v>25010</v>
      </c>
      <c r="N276">
        <v>0.05</v>
      </c>
      <c r="O276">
        <v>125050</v>
      </c>
      <c r="P276">
        <v>6252.5</v>
      </c>
      <c r="Q276">
        <v>118797.5</v>
      </c>
      <c r="R276">
        <f>YEAR(Sales_Data[[#This Row],[Order_Date]])</f>
        <v>2025</v>
      </c>
      <c r="S276" t="str">
        <f>TEXT(Sales_Data[[#This Row],[Order_Date]],"mmmm")</f>
        <v>June</v>
      </c>
      <c r="T276">
        <f t="shared" si="4"/>
        <v>6</v>
      </c>
      <c r="U276" t="str">
        <f>"Q"&amp;ROUNDUP(MONTH(Sales_Data[[#This Row],[Order_Date]])/3,0)</f>
        <v>Q2</v>
      </c>
      <c r="V276" t="s">
        <v>44</v>
      </c>
      <c r="W276" t="s">
        <v>65</v>
      </c>
      <c r="X276" t="s">
        <v>45</v>
      </c>
      <c r="Y276">
        <v>5</v>
      </c>
      <c r="Z276">
        <v>5</v>
      </c>
      <c r="AA276">
        <v>4</v>
      </c>
      <c r="AB276" t="s">
        <v>46</v>
      </c>
      <c r="AC276" t="s">
        <v>47</v>
      </c>
      <c r="AD276">
        <v>2025</v>
      </c>
    </row>
    <row r="277" spans="1:30" x14ac:dyDescent="0.45">
      <c r="A277" t="s">
        <v>640</v>
      </c>
      <c r="B277" t="s">
        <v>641</v>
      </c>
      <c r="C277" t="str">
        <f>_xlfn.XLOOKUP(Sales_Data[[#This Row],[Product_ID]],Product_Master[Product_ID],Product_Master[Product],"Not Found")</f>
        <v>Casement Windows</v>
      </c>
      <c r="D277" s="3">
        <v>46013</v>
      </c>
      <c r="E277" t="s">
        <v>25</v>
      </c>
      <c r="F277" t="s">
        <v>26</v>
      </c>
      <c r="G277" t="s">
        <v>61</v>
      </c>
      <c r="H277" t="s">
        <v>71</v>
      </c>
      <c r="I277" t="s">
        <v>75</v>
      </c>
      <c r="J277" t="s">
        <v>76</v>
      </c>
      <c r="K277" t="s">
        <v>31</v>
      </c>
      <c r="L277">
        <v>4</v>
      </c>
      <c r="M277">
        <v>23964</v>
      </c>
      <c r="N277">
        <v>0.05</v>
      </c>
      <c r="O277">
        <v>95856</v>
      </c>
      <c r="P277">
        <v>4792.8</v>
      </c>
      <c r="Q277">
        <v>91063.2</v>
      </c>
      <c r="R277">
        <f>YEAR(Sales_Data[[#This Row],[Order_Date]])</f>
        <v>2025</v>
      </c>
      <c r="S277" t="str">
        <f>TEXT(Sales_Data[[#This Row],[Order_Date]],"mmmm")</f>
        <v>December</v>
      </c>
      <c r="T277">
        <f t="shared" si="4"/>
        <v>12</v>
      </c>
      <c r="U277" t="str">
        <f>"Q"&amp;ROUNDUP(MONTH(Sales_Data[[#This Row],[Order_Date]])/3,0)</f>
        <v>Q4</v>
      </c>
      <c r="V277" t="s">
        <v>32</v>
      </c>
      <c r="W277" t="s">
        <v>33</v>
      </c>
      <c r="X277" t="s">
        <v>45</v>
      </c>
      <c r="Y277">
        <v>4</v>
      </c>
      <c r="Z277">
        <v>11</v>
      </c>
      <c r="AA277">
        <v>1</v>
      </c>
      <c r="AB277" t="s">
        <v>113</v>
      </c>
      <c r="AC277" t="s">
        <v>36</v>
      </c>
      <c r="AD277">
        <v>2025</v>
      </c>
    </row>
    <row r="278" spans="1:30" x14ac:dyDescent="0.45">
      <c r="A278" t="s">
        <v>642</v>
      </c>
      <c r="B278" t="s">
        <v>643</v>
      </c>
      <c r="C278" t="str">
        <f>_xlfn.XLOOKUP(Sales_Data[[#This Row],[Product_ID]],Product_Master[Product_ID],Product_Master[Product],"Not Found")</f>
        <v>Sliding Doors</v>
      </c>
      <c r="D278" s="3">
        <v>46016</v>
      </c>
      <c r="E278" t="s">
        <v>59</v>
      </c>
      <c r="F278" t="s">
        <v>39</v>
      </c>
      <c r="G278" t="s">
        <v>40</v>
      </c>
      <c r="H278" t="s">
        <v>119</v>
      </c>
      <c r="I278" t="s">
        <v>101</v>
      </c>
      <c r="J278" t="s">
        <v>102</v>
      </c>
      <c r="K278" t="s">
        <v>43</v>
      </c>
      <c r="L278">
        <v>2</v>
      </c>
      <c r="M278">
        <v>33631</v>
      </c>
      <c r="N278">
        <v>0.15</v>
      </c>
      <c r="O278">
        <v>67262</v>
      </c>
      <c r="P278">
        <v>10089.299999999999</v>
      </c>
      <c r="Q278">
        <v>57172.7</v>
      </c>
      <c r="R278">
        <f>YEAR(Sales_Data[[#This Row],[Order_Date]])</f>
        <v>2025</v>
      </c>
      <c r="S278" t="str">
        <f>TEXT(Sales_Data[[#This Row],[Order_Date]],"mmmm")</f>
        <v>December</v>
      </c>
      <c r="T278">
        <f t="shared" si="4"/>
        <v>12</v>
      </c>
      <c r="U278" t="str">
        <f>"Q"&amp;ROUNDUP(MONTH(Sales_Data[[#This Row],[Order_Date]])/3,0)</f>
        <v>Q4</v>
      </c>
      <c r="V278" t="s">
        <v>98</v>
      </c>
      <c r="W278" t="s">
        <v>33</v>
      </c>
      <c r="X278" t="s">
        <v>34</v>
      </c>
      <c r="Y278">
        <v>7</v>
      </c>
      <c r="Z278">
        <v>18</v>
      </c>
      <c r="AA278">
        <v>4</v>
      </c>
      <c r="AB278" t="s">
        <v>113</v>
      </c>
      <c r="AC278" t="s">
        <v>36</v>
      </c>
      <c r="AD278">
        <v>2025</v>
      </c>
    </row>
    <row r="279" spans="1:30" x14ac:dyDescent="0.45">
      <c r="A279" t="s">
        <v>644</v>
      </c>
      <c r="B279" t="s">
        <v>645</v>
      </c>
      <c r="C279" t="str">
        <f>_xlfn.XLOOKUP(Sales_Data[[#This Row],[Product_ID]],Product_Master[Product_ID],Product_Master[Product],"Not Found")</f>
        <v>French Doors</v>
      </c>
      <c r="D279" s="3">
        <v>45755</v>
      </c>
      <c r="E279" t="s">
        <v>59</v>
      </c>
      <c r="F279" t="s">
        <v>39</v>
      </c>
      <c r="G279" t="s">
        <v>111</v>
      </c>
      <c r="H279" t="s">
        <v>71</v>
      </c>
      <c r="I279" t="s">
        <v>84</v>
      </c>
      <c r="J279" t="s">
        <v>85</v>
      </c>
      <c r="K279" t="s">
        <v>43</v>
      </c>
      <c r="L279">
        <v>4</v>
      </c>
      <c r="M279">
        <v>44416</v>
      </c>
      <c r="N279">
        <v>0.2</v>
      </c>
      <c r="O279">
        <v>177664</v>
      </c>
      <c r="P279">
        <v>35532.800000000003</v>
      </c>
      <c r="Q279">
        <v>142131.20000000001</v>
      </c>
      <c r="R279">
        <f>YEAR(Sales_Data[[#This Row],[Order_Date]])</f>
        <v>2025</v>
      </c>
      <c r="S279" t="str">
        <f>TEXT(Sales_Data[[#This Row],[Order_Date]],"mmmm")</f>
        <v>April</v>
      </c>
      <c r="T279">
        <f t="shared" si="4"/>
        <v>4</v>
      </c>
      <c r="U279" t="str">
        <f>"Q"&amp;ROUNDUP(MONTH(Sales_Data[[#This Row],[Order_Date]])/3,0)</f>
        <v>Q2</v>
      </c>
      <c r="V279" t="s">
        <v>32</v>
      </c>
      <c r="W279" t="s">
        <v>33</v>
      </c>
      <c r="X279" t="s">
        <v>45</v>
      </c>
      <c r="Y279">
        <v>3</v>
      </c>
      <c r="Z279">
        <v>30</v>
      </c>
      <c r="AA279">
        <v>4</v>
      </c>
      <c r="AB279" t="s">
        <v>77</v>
      </c>
      <c r="AC279" t="s">
        <v>47</v>
      </c>
      <c r="AD279">
        <v>2025</v>
      </c>
    </row>
    <row r="280" spans="1:30" x14ac:dyDescent="0.45">
      <c r="A280" t="s">
        <v>646</v>
      </c>
      <c r="B280" t="s">
        <v>647</v>
      </c>
      <c r="C280" t="str">
        <f>_xlfn.XLOOKUP(Sales_Data[[#This Row],[Product_ID]],Product_Master[Product_ID],Product_Master[Product],"Not Found")</f>
        <v>Bi-Fold Doors</v>
      </c>
      <c r="D280" s="3">
        <v>45719</v>
      </c>
      <c r="E280" t="s">
        <v>59</v>
      </c>
      <c r="F280" t="s">
        <v>70</v>
      </c>
      <c r="G280" t="s">
        <v>50</v>
      </c>
      <c r="H280" t="s">
        <v>119</v>
      </c>
      <c r="I280" t="s">
        <v>41</v>
      </c>
      <c r="J280" t="s">
        <v>42</v>
      </c>
      <c r="K280" t="s">
        <v>43</v>
      </c>
      <c r="L280">
        <v>3</v>
      </c>
      <c r="M280">
        <v>58158</v>
      </c>
      <c r="N280">
        <v>0.05</v>
      </c>
      <c r="O280">
        <v>174474</v>
      </c>
      <c r="P280">
        <v>8723.7000000000007</v>
      </c>
      <c r="Q280">
        <v>165750.29999999999</v>
      </c>
      <c r="R280">
        <f>YEAR(Sales_Data[[#This Row],[Order_Date]])</f>
        <v>2025</v>
      </c>
      <c r="S280" t="str">
        <f>TEXT(Sales_Data[[#This Row],[Order_Date]],"mmmm")</f>
        <v>March</v>
      </c>
      <c r="T280">
        <f t="shared" si="4"/>
        <v>3</v>
      </c>
      <c r="U280" t="str">
        <f>"Q"&amp;ROUNDUP(MONTH(Sales_Data[[#This Row],[Order_Date]])/3,0)</f>
        <v>Q1</v>
      </c>
      <c r="V280" t="s">
        <v>98</v>
      </c>
      <c r="W280" t="s">
        <v>33</v>
      </c>
      <c r="X280" t="s">
        <v>45</v>
      </c>
      <c r="Y280">
        <v>1</v>
      </c>
      <c r="Z280">
        <v>16</v>
      </c>
      <c r="AA280">
        <v>3</v>
      </c>
      <c r="AB280" t="s">
        <v>130</v>
      </c>
      <c r="AC280" t="s">
        <v>56</v>
      </c>
      <c r="AD280">
        <v>2025</v>
      </c>
    </row>
    <row r="281" spans="1:30" x14ac:dyDescent="0.45">
      <c r="A281" t="s">
        <v>648</v>
      </c>
      <c r="B281" t="s">
        <v>649</v>
      </c>
      <c r="C281" t="str">
        <f>_xlfn.XLOOKUP(Sales_Data[[#This Row],[Product_ID]],Product_Master[Product_ID],Product_Master[Product],"Not Found")</f>
        <v>French Doors</v>
      </c>
      <c r="D281" s="3">
        <v>45704</v>
      </c>
      <c r="E281" t="s">
        <v>59</v>
      </c>
      <c r="F281" t="s">
        <v>26</v>
      </c>
      <c r="G281" t="s">
        <v>111</v>
      </c>
      <c r="H281" t="s">
        <v>83</v>
      </c>
      <c r="I281" t="s">
        <v>84</v>
      </c>
      <c r="J281" t="s">
        <v>85</v>
      </c>
      <c r="K281" t="s">
        <v>43</v>
      </c>
      <c r="L281">
        <v>2</v>
      </c>
      <c r="M281">
        <v>40358</v>
      </c>
      <c r="N281">
        <v>0.05</v>
      </c>
      <c r="O281">
        <v>80716</v>
      </c>
      <c r="P281">
        <v>4035.8</v>
      </c>
      <c r="Q281">
        <v>76680.2</v>
      </c>
      <c r="R281">
        <f>YEAR(Sales_Data[[#This Row],[Order_Date]])</f>
        <v>2025</v>
      </c>
      <c r="S281" t="str">
        <f>TEXT(Sales_Data[[#This Row],[Order_Date]],"mmmm")</f>
        <v>February</v>
      </c>
      <c r="T281">
        <f t="shared" si="4"/>
        <v>2</v>
      </c>
      <c r="U281" t="str">
        <f>"Q"&amp;ROUNDUP(MONTH(Sales_Data[[#This Row],[Order_Date]])/3,0)</f>
        <v>Q1</v>
      </c>
      <c r="V281" t="s">
        <v>44</v>
      </c>
      <c r="W281" t="s">
        <v>54</v>
      </c>
      <c r="X281" t="s">
        <v>45</v>
      </c>
      <c r="Y281">
        <v>2</v>
      </c>
      <c r="Z281">
        <v>9</v>
      </c>
      <c r="AA281">
        <v>4</v>
      </c>
      <c r="AB281" t="s">
        <v>55</v>
      </c>
      <c r="AC281" t="s">
        <v>56</v>
      </c>
      <c r="AD281">
        <v>2025</v>
      </c>
    </row>
    <row r="282" spans="1:30" x14ac:dyDescent="0.45">
      <c r="A282" t="s">
        <v>650</v>
      </c>
      <c r="B282" t="s">
        <v>651</v>
      </c>
      <c r="C282" t="str">
        <f>_xlfn.XLOOKUP(Sales_Data[[#This Row],[Product_ID]],Product_Master[Product_ID],Product_Master[Product],"Not Found")</f>
        <v>uPVC Doors</v>
      </c>
      <c r="D282" s="3">
        <v>46011</v>
      </c>
      <c r="E282" t="s">
        <v>25</v>
      </c>
      <c r="F282" t="s">
        <v>60</v>
      </c>
      <c r="G282" t="s">
        <v>50</v>
      </c>
      <c r="H282" t="s">
        <v>112</v>
      </c>
      <c r="I282" t="s">
        <v>107</v>
      </c>
      <c r="J282" t="s">
        <v>108</v>
      </c>
      <c r="K282" t="s">
        <v>43</v>
      </c>
      <c r="L282">
        <v>2</v>
      </c>
      <c r="M282">
        <v>28158</v>
      </c>
      <c r="N282">
        <v>0.1</v>
      </c>
      <c r="O282">
        <v>56316</v>
      </c>
      <c r="P282">
        <v>5631.6</v>
      </c>
      <c r="Q282">
        <v>50684.4</v>
      </c>
      <c r="R282">
        <f>YEAR(Sales_Data[[#This Row],[Order_Date]])</f>
        <v>2025</v>
      </c>
      <c r="S282" t="str">
        <f>TEXT(Sales_Data[[#This Row],[Order_Date]],"mmmm")</f>
        <v>December</v>
      </c>
      <c r="T282">
        <f t="shared" si="4"/>
        <v>12</v>
      </c>
      <c r="U282" t="str">
        <f>"Q"&amp;ROUNDUP(MONTH(Sales_Data[[#This Row],[Order_Date]])/3,0)</f>
        <v>Q4</v>
      </c>
      <c r="V282" t="s">
        <v>32</v>
      </c>
      <c r="W282" t="s">
        <v>33</v>
      </c>
      <c r="X282" t="s">
        <v>45</v>
      </c>
      <c r="Y282">
        <v>5</v>
      </c>
      <c r="Z282">
        <v>12</v>
      </c>
      <c r="AA282">
        <v>5</v>
      </c>
      <c r="AB282" t="s">
        <v>113</v>
      </c>
      <c r="AC282" t="s">
        <v>36</v>
      </c>
      <c r="AD282">
        <v>2025</v>
      </c>
    </row>
    <row r="283" spans="1:30" x14ac:dyDescent="0.45">
      <c r="A283" t="s">
        <v>652</v>
      </c>
      <c r="B283" t="s">
        <v>653</v>
      </c>
      <c r="C283" t="str">
        <f>_xlfn.XLOOKUP(Sales_Data[[#This Row],[Product_ID]],Product_Master[Product_ID],Product_Master[Product],"Not Found")</f>
        <v>Aluminium Windows</v>
      </c>
      <c r="D283" s="3">
        <v>45824</v>
      </c>
      <c r="E283" t="s">
        <v>59</v>
      </c>
      <c r="F283" t="s">
        <v>39</v>
      </c>
      <c r="G283" t="s">
        <v>139</v>
      </c>
      <c r="H283" t="s">
        <v>88</v>
      </c>
      <c r="I283" t="s">
        <v>52</v>
      </c>
      <c r="J283" t="s">
        <v>53</v>
      </c>
      <c r="K283" t="s">
        <v>31</v>
      </c>
      <c r="L283">
        <v>4</v>
      </c>
      <c r="M283">
        <v>23749</v>
      </c>
      <c r="N283">
        <v>0.05</v>
      </c>
      <c r="O283">
        <v>94996</v>
      </c>
      <c r="P283">
        <v>4749.8</v>
      </c>
      <c r="Q283">
        <v>90246.2</v>
      </c>
      <c r="R283">
        <f>YEAR(Sales_Data[[#This Row],[Order_Date]])</f>
        <v>2025</v>
      </c>
      <c r="S283" t="str">
        <f>TEXT(Sales_Data[[#This Row],[Order_Date]],"mmmm")</f>
        <v>June</v>
      </c>
      <c r="T283">
        <f t="shared" si="4"/>
        <v>6</v>
      </c>
      <c r="U283" t="str">
        <f>"Q"&amp;ROUNDUP(MONTH(Sales_Data[[#This Row],[Order_Date]])/3,0)</f>
        <v>Q2</v>
      </c>
      <c r="V283" t="s">
        <v>32</v>
      </c>
      <c r="W283" t="s">
        <v>33</v>
      </c>
      <c r="X283" t="s">
        <v>45</v>
      </c>
      <c r="Y283">
        <v>2</v>
      </c>
      <c r="Z283">
        <v>25</v>
      </c>
      <c r="AA283">
        <v>5</v>
      </c>
      <c r="AB283" t="s">
        <v>46</v>
      </c>
      <c r="AC283" t="s">
        <v>47</v>
      </c>
      <c r="AD283">
        <v>2025</v>
      </c>
    </row>
    <row r="284" spans="1:30" x14ac:dyDescent="0.45">
      <c r="A284" t="s">
        <v>654</v>
      </c>
      <c r="B284" t="s">
        <v>655</v>
      </c>
      <c r="C284" t="str">
        <f>_xlfn.XLOOKUP(Sales_Data[[#This Row],[Product_ID]],Product_Master[Product_ID],Product_Master[Product],"Not Found")</f>
        <v>Aluminium Windows</v>
      </c>
      <c r="D284" s="3">
        <v>45790</v>
      </c>
      <c r="E284" t="s">
        <v>59</v>
      </c>
      <c r="F284" t="s">
        <v>70</v>
      </c>
      <c r="G284" t="s">
        <v>116</v>
      </c>
      <c r="H284" t="s">
        <v>119</v>
      </c>
      <c r="I284" t="s">
        <v>52</v>
      </c>
      <c r="J284" t="s">
        <v>53</v>
      </c>
      <c r="K284" t="s">
        <v>31</v>
      </c>
      <c r="L284">
        <v>6</v>
      </c>
      <c r="M284">
        <v>23864</v>
      </c>
      <c r="N284">
        <v>0</v>
      </c>
      <c r="O284">
        <v>143184</v>
      </c>
      <c r="P284">
        <v>0</v>
      </c>
      <c r="Q284">
        <v>143184</v>
      </c>
      <c r="R284">
        <f>YEAR(Sales_Data[[#This Row],[Order_Date]])</f>
        <v>2025</v>
      </c>
      <c r="S284" t="str">
        <f>TEXT(Sales_Data[[#This Row],[Order_Date]],"mmmm")</f>
        <v>May</v>
      </c>
      <c r="T284">
        <f t="shared" si="4"/>
        <v>5</v>
      </c>
      <c r="U284" t="str">
        <f>"Q"&amp;ROUNDUP(MONTH(Sales_Data[[#This Row],[Order_Date]])/3,0)</f>
        <v>Q2</v>
      </c>
      <c r="V284" t="s">
        <v>64</v>
      </c>
      <c r="W284" t="s">
        <v>33</v>
      </c>
      <c r="X284" t="s">
        <v>66</v>
      </c>
      <c r="Y284">
        <v>5</v>
      </c>
      <c r="Z284">
        <v>11</v>
      </c>
      <c r="AA284">
        <v>4</v>
      </c>
      <c r="AB284" t="s">
        <v>72</v>
      </c>
      <c r="AC284" t="s">
        <v>47</v>
      </c>
      <c r="AD284">
        <v>2025</v>
      </c>
    </row>
    <row r="285" spans="1:30" x14ac:dyDescent="0.45">
      <c r="A285" t="s">
        <v>656</v>
      </c>
      <c r="B285" t="s">
        <v>657</v>
      </c>
      <c r="C285" t="str">
        <f>_xlfn.XLOOKUP(Sales_Data[[#This Row],[Product_ID]],Product_Master[Product_ID],Product_Master[Product],"Not Found")</f>
        <v>Soundproof Windows</v>
      </c>
      <c r="D285" s="3">
        <v>45898</v>
      </c>
      <c r="E285" t="s">
        <v>25</v>
      </c>
      <c r="F285" t="s">
        <v>60</v>
      </c>
      <c r="G285" t="s">
        <v>111</v>
      </c>
      <c r="H285" t="s">
        <v>51</v>
      </c>
      <c r="I285" t="s">
        <v>29</v>
      </c>
      <c r="J285" t="s">
        <v>30</v>
      </c>
      <c r="K285" t="s">
        <v>31</v>
      </c>
      <c r="L285">
        <v>6</v>
      </c>
      <c r="M285">
        <v>46691</v>
      </c>
      <c r="N285">
        <v>0.15</v>
      </c>
      <c r="O285">
        <v>280146</v>
      </c>
      <c r="P285">
        <v>42021.9</v>
      </c>
      <c r="Q285">
        <v>238124.1</v>
      </c>
      <c r="R285">
        <f>YEAR(Sales_Data[[#This Row],[Order_Date]])</f>
        <v>2025</v>
      </c>
      <c r="S285" t="str">
        <f>TEXT(Sales_Data[[#This Row],[Order_Date]],"mmmm")</f>
        <v>August</v>
      </c>
      <c r="T285">
        <f t="shared" si="4"/>
        <v>8</v>
      </c>
      <c r="U285" t="str">
        <f>"Q"&amp;ROUNDUP(MONTH(Sales_Data[[#This Row],[Order_Date]])/3,0)</f>
        <v>Q3</v>
      </c>
      <c r="V285" t="s">
        <v>44</v>
      </c>
      <c r="W285" t="s">
        <v>33</v>
      </c>
      <c r="X285" t="s">
        <v>45</v>
      </c>
      <c r="Y285">
        <v>7</v>
      </c>
      <c r="Z285">
        <v>30</v>
      </c>
      <c r="AA285">
        <v>5</v>
      </c>
      <c r="AB285" t="s">
        <v>123</v>
      </c>
      <c r="AC285" t="s">
        <v>90</v>
      </c>
      <c r="AD285">
        <v>2025</v>
      </c>
    </row>
    <row r="286" spans="1:30" x14ac:dyDescent="0.45">
      <c r="A286" t="s">
        <v>658</v>
      </c>
      <c r="B286" t="s">
        <v>659</v>
      </c>
      <c r="C286" t="str">
        <f>_xlfn.XLOOKUP(Sales_Data[[#This Row],[Product_ID]],Product_Master[Product_ID],Product_Master[Product],"Not Found")</f>
        <v>Bi-Fold Doors</v>
      </c>
      <c r="D286" s="3">
        <v>45903</v>
      </c>
      <c r="E286" t="s">
        <v>25</v>
      </c>
      <c r="F286" t="s">
        <v>60</v>
      </c>
      <c r="G286" t="s">
        <v>40</v>
      </c>
      <c r="H286" t="s">
        <v>88</v>
      </c>
      <c r="I286" t="s">
        <v>41</v>
      </c>
      <c r="J286" t="s">
        <v>42</v>
      </c>
      <c r="K286" t="s">
        <v>43</v>
      </c>
      <c r="L286">
        <v>6</v>
      </c>
      <c r="M286">
        <v>56193</v>
      </c>
      <c r="N286">
        <v>0.2</v>
      </c>
      <c r="O286">
        <v>337158</v>
      </c>
      <c r="P286">
        <v>67431.600000000006</v>
      </c>
      <c r="Q286">
        <v>269726.40000000002</v>
      </c>
      <c r="R286">
        <f>YEAR(Sales_Data[[#This Row],[Order_Date]])</f>
        <v>2025</v>
      </c>
      <c r="S286" t="str">
        <f>TEXT(Sales_Data[[#This Row],[Order_Date]],"mmmm")</f>
        <v>September</v>
      </c>
      <c r="T286">
        <f t="shared" si="4"/>
        <v>9</v>
      </c>
      <c r="U286" t="str">
        <f>"Q"&amp;ROUNDUP(MONTH(Sales_Data[[#This Row],[Order_Date]])/3,0)</f>
        <v>Q3</v>
      </c>
      <c r="V286" t="s">
        <v>32</v>
      </c>
      <c r="W286" t="s">
        <v>33</v>
      </c>
      <c r="X286" t="s">
        <v>66</v>
      </c>
      <c r="Y286">
        <v>5</v>
      </c>
      <c r="Z286">
        <v>13</v>
      </c>
      <c r="AA286">
        <v>3</v>
      </c>
      <c r="AB286" t="s">
        <v>89</v>
      </c>
      <c r="AC286" t="s">
        <v>90</v>
      </c>
      <c r="AD286">
        <v>2025</v>
      </c>
    </row>
    <row r="287" spans="1:30" x14ac:dyDescent="0.45">
      <c r="A287" t="s">
        <v>660</v>
      </c>
      <c r="B287" t="s">
        <v>661</v>
      </c>
      <c r="C287" t="str">
        <f>_xlfn.XLOOKUP(Sales_Data[[#This Row],[Product_ID]],Product_Master[Product_ID],Product_Master[Product],"Not Found")</f>
        <v>uPVC Doors</v>
      </c>
      <c r="D287" s="3">
        <v>45908</v>
      </c>
      <c r="E287" t="s">
        <v>59</v>
      </c>
      <c r="F287" t="s">
        <v>26</v>
      </c>
      <c r="G287" t="s">
        <v>40</v>
      </c>
      <c r="H287" t="s">
        <v>51</v>
      </c>
      <c r="I287" t="s">
        <v>107</v>
      </c>
      <c r="J287" t="s">
        <v>108</v>
      </c>
      <c r="K287" t="s">
        <v>43</v>
      </c>
      <c r="L287">
        <v>1</v>
      </c>
      <c r="M287">
        <v>28234</v>
      </c>
      <c r="N287">
        <v>0.05</v>
      </c>
      <c r="O287">
        <v>28234</v>
      </c>
      <c r="P287">
        <v>1411.7</v>
      </c>
      <c r="Q287">
        <v>26822.3</v>
      </c>
      <c r="R287">
        <f>YEAR(Sales_Data[[#This Row],[Order_Date]])</f>
        <v>2025</v>
      </c>
      <c r="S287" t="str">
        <f>TEXT(Sales_Data[[#This Row],[Order_Date]],"mmmm")</f>
        <v>September</v>
      </c>
      <c r="T287">
        <f t="shared" si="4"/>
        <v>9</v>
      </c>
      <c r="U287" t="str">
        <f>"Q"&amp;ROUNDUP(MONTH(Sales_Data[[#This Row],[Order_Date]])/3,0)</f>
        <v>Q3</v>
      </c>
      <c r="V287" t="s">
        <v>32</v>
      </c>
      <c r="W287" t="s">
        <v>33</v>
      </c>
      <c r="X287" t="s">
        <v>45</v>
      </c>
      <c r="Y287">
        <v>3</v>
      </c>
      <c r="Z287">
        <v>10</v>
      </c>
      <c r="AA287">
        <v>4</v>
      </c>
      <c r="AB287" t="s">
        <v>89</v>
      </c>
      <c r="AC287" t="s">
        <v>90</v>
      </c>
      <c r="AD287">
        <v>2025</v>
      </c>
    </row>
    <row r="288" spans="1:30" x14ac:dyDescent="0.45">
      <c r="A288" t="s">
        <v>662</v>
      </c>
      <c r="B288" t="s">
        <v>663</v>
      </c>
      <c r="C288" t="str">
        <f>_xlfn.XLOOKUP(Sales_Data[[#This Row],[Product_ID]],Product_Master[Product_ID],Product_Master[Product],"Not Found")</f>
        <v>uPVC Windows</v>
      </c>
      <c r="D288" s="3">
        <v>45787</v>
      </c>
      <c r="E288" t="s">
        <v>59</v>
      </c>
      <c r="F288" t="s">
        <v>60</v>
      </c>
      <c r="G288" t="s">
        <v>50</v>
      </c>
      <c r="H288" t="s">
        <v>119</v>
      </c>
      <c r="I288" t="s">
        <v>62</v>
      </c>
      <c r="J288" t="s">
        <v>63</v>
      </c>
      <c r="K288" t="s">
        <v>31</v>
      </c>
      <c r="L288">
        <v>5</v>
      </c>
      <c r="M288">
        <v>17317</v>
      </c>
      <c r="N288">
        <v>0.2</v>
      </c>
      <c r="O288">
        <v>86585</v>
      </c>
      <c r="P288">
        <v>17317</v>
      </c>
      <c r="Q288">
        <v>69268</v>
      </c>
      <c r="R288">
        <f>YEAR(Sales_Data[[#This Row],[Order_Date]])</f>
        <v>2025</v>
      </c>
      <c r="S288" t="str">
        <f>TEXT(Sales_Data[[#This Row],[Order_Date]],"mmmm")</f>
        <v>May</v>
      </c>
      <c r="T288">
        <f t="shared" si="4"/>
        <v>5</v>
      </c>
      <c r="U288" t="str">
        <f>"Q"&amp;ROUNDUP(MONTH(Sales_Data[[#This Row],[Order_Date]])/3,0)</f>
        <v>Q2</v>
      </c>
      <c r="V288" t="s">
        <v>64</v>
      </c>
      <c r="W288" t="s">
        <v>33</v>
      </c>
      <c r="X288" t="s">
        <v>45</v>
      </c>
      <c r="Y288">
        <v>6</v>
      </c>
      <c r="Z288">
        <v>19</v>
      </c>
      <c r="AA288">
        <v>4</v>
      </c>
      <c r="AB288" t="s">
        <v>72</v>
      </c>
      <c r="AC288" t="s">
        <v>47</v>
      </c>
      <c r="AD288">
        <v>2025</v>
      </c>
    </row>
    <row r="289" spans="1:30" x14ac:dyDescent="0.45">
      <c r="A289" t="s">
        <v>664</v>
      </c>
      <c r="B289" t="s">
        <v>665</v>
      </c>
      <c r="C289" t="str">
        <f>_xlfn.XLOOKUP(Sales_Data[[#This Row],[Product_ID]],Product_Master[Product_ID],Product_Master[Product],"Not Found")</f>
        <v>Aluminium Windows</v>
      </c>
      <c r="D289" s="3">
        <v>45956</v>
      </c>
      <c r="E289" t="s">
        <v>59</v>
      </c>
      <c r="F289" t="s">
        <v>26</v>
      </c>
      <c r="G289" t="s">
        <v>61</v>
      </c>
      <c r="H289" t="s">
        <v>88</v>
      </c>
      <c r="I289" t="s">
        <v>52</v>
      </c>
      <c r="J289" t="s">
        <v>53</v>
      </c>
      <c r="K289" t="s">
        <v>31</v>
      </c>
      <c r="L289">
        <v>2</v>
      </c>
      <c r="M289">
        <v>20370</v>
      </c>
      <c r="N289">
        <v>0.1</v>
      </c>
      <c r="O289">
        <v>40740</v>
      </c>
      <c r="P289">
        <v>4074</v>
      </c>
      <c r="Q289">
        <v>36666</v>
      </c>
      <c r="R289">
        <f>YEAR(Sales_Data[[#This Row],[Order_Date]])</f>
        <v>2025</v>
      </c>
      <c r="S289" t="str">
        <f>TEXT(Sales_Data[[#This Row],[Order_Date]],"mmmm")</f>
        <v>October</v>
      </c>
      <c r="T289">
        <f t="shared" si="4"/>
        <v>10</v>
      </c>
      <c r="U289" t="str">
        <f>"Q"&amp;ROUNDUP(MONTH(Sales_Data[[#This Row],[Order_Date]])/3,0)</f>
        <v>Q4</v>
      </c>
      <c r="V289" t="s">
        <v>122</v>
      </c>
      <c r="W289" t="s">
        <v>54</v>
      </c>
      <c r="X289" t="s">
        <v>45</v>
      </c>
      <c r="Y289">
        <v>5</v>
      </c>
      <c r="Z289">
        <v>7</v>
      </c>
      <c r="AA289">
        <v>5</v>
      </c>
      <c r="AB289" t="s">
        <v>35</v>
      </c>
      <c r="AC289" t="s">
        <v>36</v>
      </c>
      <c r="AD289">
        <v>2025</v>
      </c>
    </row>
    <row r="290" spans="1:30" x14ac:dyDescent="0.45">
      <c r="A290" t="s">
        <v>666</v>
      </c>
      <c r="B290" t="s">
        <v>667</v>
      </c>
      <c r="C290" t="str">
        <f>_xlfn.XLOOKUP(Sales_Data[[#This Row],[Product_ID]],Product_Master[Product_ID],Product_Master[Product],"Not Found")</f>
        <v>Soundproof Windows</v>
      </c>
      <c r="D290" s="3">
        <v>45938</v>
      </c>
      <c r="E290" t="s">
        <v>25</v>
      </c>
      <c r="F290" t="s">
        <v>39</v>
      </c>
      <c r="G290" t="s">
        <v>27</v>
      </c>
      <c r="H290" t="s">
        <v>88</v>
      </c>
      <c r="I290" t="s">
        <v>29</v>
      </c>
      <c r="J290" t="s">
        <v>30</v>
      </c>
      <c r="K290" t="s">
        <v>31</v>
      </c>
      <c r="L290">
        <v>1</v>
      </c>
      <c r="M290">
        <v>44659</v>
      </c>
      <c r="N290">
        <v>0.1</v>
      </c>
      <c r="O290">
        <v>44659</v>
      </c>
      <c r="P290">
        <v>4465.8999999999996</v>
      </c>
      <c r="Q290">
        <v>40193.1</v>
      </c>
      <c r="R290">
        <f>YEAR(Sales_Data[[#This Row],[Order_Date]])</f>
        <v>2025</v>
      </c>
      <c r="S290" t="str">
        <f>TEXT(Sales_Data[[#This Row],[Order_Date]],"mmmm")</f>
        <v>October</v>
      </c>
      <c r="T290">
        <f t="shared" si="4"/>
        <v>10</v>
      </c>
      <c r="U290" t="str">
        <f>"Q"&amp;ROUNDUP(MONTH(Sales_Data[[#This Row],[Order_Date]])/3,0)</f>
        <v>Q4</v>
      </c>
      <c r="V290" t="s">
        <v>32</v>
      </c>
      <c r="W290" t="s">
        <v>33</v>
      </c>
      <c r="X290" t="s">
        <v>66</v>
      </c>
      <c r="Y290">
        <v>3</v>
      </c>
      <c r="Z290">
        <v>10</v>
      </c>
      <c r="AA290">
        <v>4</v>
      </c>
      <c r="AB290" t="s">
        <v>35</v>
      </c>
      <c r="AC290" t="s">
        <v>36</v>
      </c>
      <c r="AD290">
        <v>2025</v>
      </c>
    </row>
    <row r="291" spans="1:30" x14ac:dyDescent="0.45">
      <c r="A291" t="s">
        <v>668</v>
      </c>
      <c r="B291" t="s">
        <v>669</v>
      </c>
      <c r="C291" t="str">
        <f>_xlfn.XLOOKUP(Sales_Data[[#This Row],[Product_ID]],Product_Master[Product_ID],Product_Master[Product],"Not Found")</f>
        <v>French Doors</v>
      </c>
      <c r="D291" s="3">
        <v>46013</v>
      </c>
      <c r="E291" t="s">
        <v>25</v>
      </c>
      <c r="F291" t="s">
        <v>26</v>
      </c>
      <c r="G291" t="s">
        <v>50</v>
      </c>
      <c r="H291" t="s">
        <v>119</v>
      </c>
      <c r="I291" t="s">
        <v>84</v>
      </c>
      <c r="J291" t="s">
        <v>85</v>
      </c>
      <c r="K291" t="s">
        <v>43</v>
      </c>
      <c r="L291">
        <v>4</v>
      </c>
      <c r="M291">
        <v>47224</v>
      </c>
      <c r="N291">
        <v>0.15</v>
      </c>
      <c r="O291">
        <v>188896</v>
      </c>
      <c r="P291">
        <v>28334.400000000001</v>
      </c>
      <c r="Q291">
        <v>160561.60000000001</v>
      </c>
      <c r="R291">
        <f>YEAR(Sales_Data[[#This Row],[Order_Date]])</f>
        <v>2025</v>
      </c>
      <c r="S291" t="str">
        <f>TEXT(Sales_Data[[#This Row],[Order_Date]],"mmmm")</f>
        <v>December</v>
      </c>
      <c r="T291">
        <f t="shared" si="4"/>
        <v>12</v>
      </c>
      <c r="U291" t="str">
        <f>"Q"&amp;ROUNDUP(MONTH(Sales_Data[[#This Row],[Order_Date]])/3,0)</f>
        <v>Q4</v>
      </c>
      <c r="V291" t="s">
        <v>98</v>
      </c>
      <c r="W291" t="s">
        <v>65</v>
      </c>
      <c r="X291" t="s">
        <v>45</v>
      </c>
      <c r="Y291">
        <v>6</v>
      </c>
      <c r="Z291">
        <v>27</v>
      </c>
      <c r="AA291">
        <v>5</v>
      </c>
      <c r="AB291" t="s">
        <v>113</v>
      </c>
      <c r="AC291" t="s">
        <v>36</v>
      </c>
      <c r="AD291">
        <v>2025</v>
      </c>
    </row>
    <row r="292" spans="1:30" x14ac:dyDescent="0.45">
      <c r="A292" t="s">
        <v>670</v>
      </c>
      <c r="B292" t="s">
        <v>671</v>
      </c>
      <c r="C292" t="str">
        <f>_xlfn.XLOOKUP(Sales_Data[[#This Row],[Product_ID]],Product_Master[Product_ID],Product_Master[Product],"Not Found")</f>
        <v>Aluminium Windows</v>
      </c>
      <c r="D292" s="3">
        <v>45762</v>
      </c>
      <c r="E292" t="s">
        <v>59</v>
      </c>
      <c r="F292" t="s">
        <v>26</v>
      </c>
      <c r="G292" t="s">
        <v>82</v>
      </c>
      <c r="H292" t="s">
        <v>83</v>
      </c>
      <c r="I292" t="s">
        <v>52</v>
      </c>
      <c r="J292" t="s">
        <v>53</v>
      </c>
      <c r="K292" t="s">
        <v>31</v>
      </c>
      <c r="L292">
        <v>3</v>
      </c>
      <c r="M292">
        <v>24927</v>
      </c>
      <c r="N292">
        <v>0.1</v>
      </c>
      <c r="O292">
        <v>74781</v>
      </c>
      <c r="P292">
        <v>7478.1</v>
      </c>
      <c r="Q292">
        <v>67302.899999999994</v>
      </c>
      <c r="R292">
        <f>YEAR(Sales_Data[[#This Row],[Order_Date]])</f>
        <v>2025</v>
      </c>
      <c r="S292" t="str">
        <f>TEXT(Sales_Data[[#This Row],[Order_Date]],"mmmm")</f>
        <v>April</v>
      </c>
      <c r="T292">
        <f t="shared" si="4"/>
        <v>4</v>
      </c>
      <c r="U292" t="str">
        <f>"Q"&amp;ROUNDUP(MONTH(Sales_Data[[#This Row],[Order_Date]])/3,0)</f>
        <v>Q2</v>
      </c>
      <c r="V292" t="s">
        <v>44</v>
      </c>
      <c r="W292" t="s">
        <v>33</v>
      </c>
      <c r="X292" t="s">
        <v>45</v>
      </c>
      <c r="Y292">
        <v>6</v>
      </c>
      <c r="Z292">
        <v>24</v>
      </c>
      <c r="AA292">
        <v>5</v>
      </c>
      <c r="AB292" t="s">
        <v>77</v>
      </c>
      <c r="AC292" t="s">
        <v>47</v>
      </c>
      <c r="AD292">
        <v>2025</v>
      </c>
    </row>
    <row r="293" spans="1:30" x14ac:dyDescent="0.45">
      <c r="A293" t="s">
        <v>672</v>
      </c>
      <c r="B293" t="s">
        <v>673</v>
      </c>
      <c r="C293" t="str">
        <f>_xlfn.XLOOKUP(Sales_Data[[#This Row],[Product_ID]],Product_Master[Product_ID],Product_Master[Product],"Not Found")</f>
        <v>Aluminium Windows</v>
      </c>
      <c r="D293" s="3">
        <v>45778</v>
      </c>
      <c r="E293" t="s">
        <v>59</v>
      </c>
      <c r="F293" t="s">
        <v>39</v>
      </c>
      <c r="G293" t="s">
        <v>40</v>
      </c>
      <c r="H293" t="s">
        <v>28</v>
      </c>
      <c r="I293" t="s">
        <v>52</v>
      </c>
      <c r="J293" t="s">
        <v>53</v>
      </c>
      <c r="K293" t="s">
        <v>31</v>
      </c>
      <c r="L293">
        <v>2</v>
      </c>
      <c r="M293">
        <v>22469</v>
      </c>
      <c r="N293">
        <v>0</v>
      </c>
      <c r="O293">
        <v>44938</v>
      </c>
      <c r="P293">
        <v>0</v>
      </c>
      <c r="Q293">
        <v>44938</v>
      </c>
      <c r="R293">
        <f>YEAR(Sales_Data[[#This Row],[Order_Date]])</f>
        <v>2025</v>
      </c>
      <c r="S293" t="str">
        <f>TEXT(Sales_Data[[#This Row],[Order_Date]],"mmmm")</f>
        <v>May</v>
      </c>
      <c r="T293">
        <f t="shared" si="4"/>
        <v>5</v>
      </c>
      <c r="U293" t="str">
        <f>"Q"&amp;ROUNDUP(MONTH(Sales_Data[[#This Row],[Order_Date]])/3,0)</f>
        <v>Q2</v>
      </c>
      <c r="V293" t="s">
        <v>98</v>
      </c>
      <c r="W293" t="s">
        <v>33</v>
      </c>
      <c r="X293" t="s">
        <v>45</v>
      </c>
      <c r="Y293">
        <v>3</v>
      </c>
      <c r="Z293">
        <v>7</v>
      </c>
      <c r="AA293">
        <v>4</v>
      </c>
      <c r="AB293" t="s">
        <v>72</v>
      </c>
      <c r="AC293" t="s">
        <v>47</v>
      </c>
      <c r="AD293">
        <v>2025</v>
      </c>
    </row>
    <row r="294" spans="1:30" x14ac:dyDescent="0.45">
      <c r="A294" t="s">
        <v>674</v>
      </c>
      <c r="B294" t="s">
        <v>675</v>
      </c>
      <c r="C294" t="str">
        <f>_xlfn.XLOOKUP(Sales_Data[[#This Row],[Product_ID]],Product_Master[Product_ID],Product_Master[Product],"Not Found")</f>
        <v>Casement Windows</v>
      </c>
      <c r="D294" s="3">
        <v>45845</v>
      </c>
      <c r="E294" t="s">
        <v>59</v>
      </c>
      <c r="F294" t="s">
        <v>70</v>
      </c>
      <c r="G294" t="s">
        <v>82</v>
      </c>
      <c r="H294" t="s">
        <v>112</v>
      </c>
      <c r="I294" t="s">
        <v>75</v>
      </c>
      <c r="J294" t="s">
        <v>76</v>
      </c>
      <c r="K294" t="s">
        <v>31</v>
      </c>
      <c r="L294">
        <v>3</v>
      </c>
      <c r="M294">
        <v>29268</v>
      </c>
      <c r="N294">
        <v>0.1</v>
      </c>
      <c r="O294">
        <v>87804</v>
      </c>
      <c r="P294">
        <v>8780.4</v>
      </c>
      <c r="Q294">
        <v>79023.600000000006</v>
      </c>
      <c r="R294">
        <f>YEAR(Sales_Data[[#This Row],[Order_Date]])</f>
        <v>2025</v>
      </c>
      <c r="S294" t="str">
        <f>TEXT(Sales_Data[[#This Row],[Order_Date]],"mmmm")</f>
        <v>July</v>
      </c>
      <c r="T294">
        <f t="shared" si="4"/>
        <v>7</v>
      </c>
      <c r="U294" t="str">
        <f>"Q"&amp;ROUNDUP(MONTH(Sales_Data[[#This Row],[Order_Date]])/3,0)</f>
        <v>Q3</v>
      </c>
      <c r="V294" t="s">
        <v>32</v>
      </c>
      <c r="W294" t="s">
        <v>65</v>
      </c>
      <c r="X294" t="s">
        <v>66</v>
      </c>
      <c r="Y294">
        <v>2</v>
      </c>
      <c r="Z294">
        <v>11</v>
      </c>
      <c r="AA294">
        <v>4</v>
      </c>
      <c r="AB294" t="s">
        <v>155</v>
      </c>
      <c r="AC294" t="s">
        <v>90</v>
      </c>
      <c r="AD294">
        <v>2025</v>
      </c>
    </row>
    <row r="295" spans="1:30" x14ac:dyDescent="0.45">
      <c r="A295" t="s">
        <v>676</v>
      </c>
      <c r="B295" t="s">
        <v>677</v>
      </c>
      <c r="C295" t="str">
        <f>_xlfn.XLOOKUP(Sales_Data[[#This Row],[Product_ID]],Product_Master[Product_ID],Product_Master[Product],"Not Found")</f>
        <v>Bi-Fold Doors</v>
      </c>
      <c r="D295" s="3">
        <v>45674</v>
      </c>
      <c r="E295" t="s">
        <v>59</v>
      </c>
      <c r="F295" t="s">
        <v>26</v>
      </c>
      <c r="G295" t="s">
        <v>50</v>
      </c>
      <c r="H295" t="s">
        <v>71</v>
      </c>
      <c r="I295" t="s">
        <v>41</v>
      </c>
      <c r="J295" t="s">
        <v>42</v>
      </c>
      <c r="K295" t="s">
        <v>43</v>
      </c>
      <c r="L295">
        <v>3</v>
      </c>
      <c r="M295">
        <v>52777</v>
      </c>
      <c r="N295">
        <v>0.15</v>
      </c>
      <c r="O295">
        <v>158331</v>
      </c>
      <c r="P295">
        <v>23749.65</v>
      </c>
      <c r="Q295">
        <v>134581.35</v>
      </c>
      <c r="R295">
        <f>YEAR(Sales_Data[[#This Row],[Order_Date]])</f>
        <v>2025</v>
      </c>
      <c r="S295" t="str">
        <f>TEXT(Sales_Data[[#This Row],[Order_Date]],"mmmm")</f>
        <v>January</v>
      </c>
      <c r="T295">
        <f t="shared" si="4"/>
        <v>1</v>
      </c>
      <c r="U295" t="str">
        <f>"Q"&amp;ROUNDUP(MONTH(Sales_Data[[#This Row],[Order_Date]])/3,0)</f>
        <v>Q1</v>
      </c>
      <c r="V295" t="s">
        <v>32</v>
      </c>
      <c r="W295" t="s">
        <v>33</v>
      </c>
      <c r="X295" t="s">
        <v>93</v>
      </c>
      <c r="Y295">
        <v>3</v>
      </c>
      <c r="Z295">
        <v>20</v>
      </c>
      <c r="AA295">
        <v>3</v>
      </c>
      <c r="AB295" t="s">
        <v>144</v>
      </c>
      <c r="AC295" t="s">
        <v>56</v>
      </c>
      <c r="AD295">
        <v>2025</v>
      </c>
    </row>
    <row r="296" spans="1:30" x14ac:dyDescent="0.45">
      <c r="A296" t="s">
        <v>678</v>
      </c>
      <c r="B296" t="s">
        <v>679</v>
      </c>
      <c r="C296" t="str">
        <f>_xlfn.XLOOKUP(Sales_Data[[#This Row],[Product_ID]],Product_Master[Product_ID],Product_Master[Product],"Not Found")</f>
        <v>Aluminium Windows</v>
      </c>
      <c r="D296" s="3">
        <v>45894</v>
      </c>
      <c r="E296" t="s">
        <v>59</v>
      </c>
      <c r="F296" t="s">
        <v>60</v>
      </c>
      <c r="G296" t="s">
        <v>139</v>
      </c>
      <c r="H296" t="s">
        <v>51</v>
      </c>
      <c r="I296" t="s">
        <v>52</v>
      </c>
      <c r="J296" t="s">
        <v>53</v>
      </c>
      <c r="K296" t="s">
        <v>31</v>
      </c>
      <c r="L296">
        <v>2</v>
      </c>
      <c r="M296">
        <v>24300</v>
      </c>
      <c r="N296">
        <v>0.1</v>
      </c>
      <c r="O296">
        <v>48600</v>
      </c>
      <c r="P296">
        <v>4860</v>
      </c>
      <c r="Q296">
        <v>43740</v>
      </c>
      <c r="R296">
        <f>YEAR(Sales_Data[[#This Row],[Order_Date]])</f>
        <v>2025</v>
      </c>
      <c r="S296" t="str">
        <f>TEXT(Sales_Data[[#This Row],[Order_Date]],"mmmm")</f>
        <v>August</v>
      </c>
      <c r="T296">
        <f t="shared" si="4"/>
        <v>8</v>
      </c>
      <c r="U296" t="str">
        <f>"Q"&amp;ROUNDUP(MONTH(Sales_Data[[#This Row],[Order_Date]])/3,0)</f>
        <v>Q3</v>
      </c>
      <c r="V296" t="s">
        <v>32</v>
      </c>
      <c r="W296" t="s">
        <v>33</v>
      </c>
      <c r="X296" t="s">
        <v>45</v>
      </c>
      <c r="Y296">
        <v>1</v>
      </c>
      <c r="Z296">
        <v>18</v>
      </c>
      <c r="AA296">
        <v>4</v>
      </c>
      <c r="AB296" t="s">
        <v>123</v>
      </c>
      <c r="AC296" t="s">
        <v>90</v>
      </c>
      <c r="AD296">
        <v>2025</v>
      </c>
    </row>
    <row r="297" spans="1:30" x14ac:dyDescent="0.45">
      <c r="A297" t="s">
        <v>680</v>
      </c>
      <c r="B297" t="s">
        <v>681</v>
      </c>
      <c r="C297" t="str">
        <f>_xlfn.XLOOKUP(Sales_Data[[#This Row],[Product_ID]],Product_Master[Product_ID],Product_Master[Product],"Not Found")</f>
        <v>Aluminium Windows</v>
      </c>
      <c r="D297" s="3">
        <v>45743</v>
      </c>
      <c r="E297" t="s">
        <v>59</v>
      </c>
      <c r="F297" t="s">
        <v>70</v>
      </c>
      <c r="G297" t="s">
        <v>40</v>
      </c>
      <c r="H297" t="s">
        <v>88</v>
      </c>
      <c r="I297" t="s">
        <v>52</v>
      </c>
      <c r="J297" t="s">
        <v>53</v>
      </c>
      <c r="K297" t="s">
        <v>31</v>
      </c>
      <c r="L297">
        <v>3</v>
      </c>
      <c r="M297">
        <v>20911</v>
      </c>
      <c r="N297">
        <v>0</v>
      </c>
      <c r="O297">
        <v>62733</v>
      </c>
      <c r="P297">
        <v>0</v>
      </c>
      <c r="Q297">
        <v>62733</v>
      </c>
      <c r="R297">
        <f>YEAR(Sales_Data[[#This Row],[Order_Date]])</f>
        <v>2025</v>
      </c>
      <c r="S297" t="str">
        <f>TEXT(Sales_Data[[#This Row],[Order_Date]],"mmmm")</f>
        <v>March</v>
      </c>
      <c r="T297">
        <f t="shared" si="4"/>
        <v>3</v>
      </c>
      <c r="U297" t="str">
        <f>"Q"&amp;ROUNDUP(MONTH(Sales_Data[[#This Row],[Order_Date]])/3,0)</f>
        <v>Q1</v>
      </c>
      <c r="V297" t="s">
        <v>98</v>
      </c>
      <c r="W297" t="s">
        <v>33</v>
      </c>
      <c r="X297" t="s">
        <v>34</v>
      </c>
      <c r="Y297">
        <v>3</v>
      </c>
      <c r="Z297">
        <v>16</v>
      </c>
      <c r="AA297">
        <v>4</v>
      </c>
      <c r="AB297" t="s">
        <v>130</v>
      </c>
      <c r="AC297" t="s">
        <v>56</v>
      </c>
      <c r="AD297">
        <v>2025</v>
      </c>
    </row>
    <row r="298" spans="1:30" x14ac:dyDescent="0.45">
      <c r="A298" t="s">
        <v>682</v>
      </c>
      <c r="B298" t="s">
        <v>683</v>
      </c>
      <c r="C298" t="str">
        <f>_xlfn.XLOOKUP(Sales_Data[[#This Row],[Product_ID]],Product_Master[Product_ID],Product_Master[Product],"Not Found")</f>
        <v>French Doors</v>
      </c>
      <c r="D298" s="3">
        <v>45851</v>
      </c>
      <c r="E298" t="s">
        <v>25</v>
      </c>
      <c r="F298" t="s">
        <v>70</v>
      </c>
      <c r="G298" t="s">
        <v>27</v>
      </c>
      <c r="H298" t="s">
        <v>51</v>
      </c>
      <c r="I298" t="s">
        <v>84</v>
      </c>
      <c r="J298" t="s">
        <v>85</v>
      </c>
      <c r="K298" t="s">
        <v>43</v>
      </c>
      <c r="L298">
        <v>3</v>
      </c>
      <c r="M298">
        <v>45573</v>
      </c>
      <c r="N298">
        <v>0</v>
      </c>
      <c r="O298">
        <v>136719</v>
      </c>
      <c r="P298">
        <v>0</v>
      </c>
      <c r="Q298">
        <v>136719</v>
      </c>
      <c r="R298">
        <f>YEAR(Sales_Data[[#This Row],[Order_Date]])</f>
        <v>2025</v>
      </c>
      <c r="S298" t="str">
        <f>TEXT(Sales_Data[[#This Row],[Order_Date]],"mmmm")</f>
        <v>July</v>
      </c>
      <c r="T298">
        <f t="shared" si="4"/>
        <v>7</v>
      </c>
      <c r="U298" t="str">
        <f>"Q"&amp;ROUNDUP(MONTH(Sales_Data[[#This Row],[Order_Date]])/3,0)</f>
        <v>Q3</v>
      </c>
      <c r="V298" t="s">
        <v>32</v>
      </c>
      <c r="W298" t="s">
        <v>33</v>
      </c>
      <c r="X298" t="s">
        <v>93</v>
      </c>
      <c r="Y298">
        <v>3</v>
      </c>
      <c r="Z298">
        <v>16</v>
      </c>
      <c r="AA298">
        <v>4</v>
      </c>
      <c r="AB298" t="s">
        <v>155</v>
      </c>
      <c r="AC298" t="s">
        <v>90</v>
      </c>
      <c r="AD298">
        <v>2025</v>
      </c>
    </row>
    <row r="299" spans="1:30" x14ac:dyDescent="0.45">
      <c r="A299" t="s">
        <v>684</v>
      </c>
      <c r="B299" t="s">
        <v>685</v>
      </c>
      <c r="C299" t="str">
        <f>_xlfn.XLOOKUP(Sales_Data[[#This Row],[Product_ID]],Product_Master[Product_ID],Product_Master[Product],"Not Found")</f>
        <v>French Doors</v>
      </c>
      <c r="D299" s="3">
        <v>45991</v>
      </c>
      <c r="E299" t="s">
        <v>59</v>
      </c>
      <c r="F299" t="s">
        <v>26</v>
      </c>
      <c r="G299" t="s">
        <v>111</v>
      </c>
      <c r="H299" t="s">
        <v>71</v>
      </c>
      <c r="I299" t="s">
        <v>84</v>
      </c>
      <c r="J299" t="s">
        <v>85</v>
      </c>
      <c r="K299" t="s">
        <v>43</v>
      </c>
      <c r="L299">
        <v>1</v>
      </c>
      <c r="M299">
        <v>39949</v>
      </c>
      <c r="N299">
        <v>0.1</v>
      </c>
      <c r="O299">
        <v>39949</v>
      </c>
      <c r="P299">
        <v>3994.9</v>
      </c>
      <c r="Q299">
        <v>35954.1</v>
      </c>
      <c r="R299">
        <f>YEAR(Sales_Data[[#This Row],[Order_Date]])</f>
        <v>2025</v>
      </c>
      <c r="S299" t="str">
        <f>TEXT(Sales_Data[[#This Row],[Order_Date]],"mmmm")</f>
        <v>November</v>
      </c>
      <c r="T299">
        <f t="shared" si="4"/>
        <v>11</v>
      </c>
      <c r="U299" t="str">
        <f>"Q"&amp;ROUNDUP(MONTH(Sales_Data[[#This Row],[Order_Date]])/3,0)</f>
        <v>Q4</v>
      </c>
      <c r="V299" t="s">
        <v>32</v>
      </c>
      <c r="W299" t="s">
        <v>33</v>
      </c>
      <c r="X299" t="s">
        <v>45</v>
      </c>
      <c r="Y299">
        <v>7</v>
      </c>
      <c r="Z299">
        <v>6</v>
      </c>
      <c r="AA299">
        <v>5</v>
      </c>
      <c r="AB299" t="s">
        <v>67</v>
      </c>
      <c r="AC299" t="s">
        <v>36</v>
      </c>
      <c r="AD299">
        <v>2025</v>
      </c>
    </row>
    <row r="300" spans="1:30" x14ac:dyDescent="0.45">
      <c r="A300" t="s">
        <v>686</v>
      </c>
      <c r="B300" t="s">
        <v>687</v>
      </c>
      <c r="C300" t="str">
        <f>_xlfn.XLOOKUP(Sales_Data[[#This Row],[Product_ID]],Product_Master[Product_ID],Product_Master[Product],"Not Found")</f>
        <v>Bi-Fold Doors</v>
      </c>
      <c r="D300" s="3">
        <v>45724</v>
      </c>
      <c r="E300" t="s">
        <v>25</v>
      </c>
      <c r="F300" t="s">
        <v>70</v>
      </c>
      <c r="G300" t="s">
        <v>139</v>
      </c>
      <c r="H300" t="s">
        <v>28</v>
      </c>
      <c r="I300" t="s">
        <v>41</v>
      </c>
      <c r="J300" t="s">
        <v>42</v>
      </c>
      <c r="K300" t="s">
        <v>43</v>
      </c>
      <c r="L300">
        <v>4</v>
      </c>
      <c r="M300">
        <v>51848</v>
      </c>
      <c r="N300">
        <v>0.05</v>
      </c>
      <c r="O300">
        <v>207392</v>
      </c>
      <c r="P300">
        <v>10369.6</v>
      </c>
      <c r="Q300">
        <v>197022.4</v>
      </c>
      <c r="R300">
        <f>YEAR(Sales_Data[[#This Row],[Order_Date]])</f>
        <v>2025</v>
      </c>
      <c r="S300" t="str">
        <f>TEXT(Sales_Data[[#This Row],[Order_Date]],"mmmm")</f>
        <v>March</v>
      </c>
      <c r="T300">
        <f t="shared" si="4"/>
        <v>3</v>
      </c>
      <c r="U300" t="str">
        <f>"Q"&amp;ROUNDUP(MONTH(Sales_Data[[#This Row],[Order_Date]])/3,0)</f>
        <v>Q1</v>
      </c>
      <c r="V300" t="s">
        <v>32</v>
      </c>
      <c r="W300" t="s">
        <v>33</v>
      </c>
      <c r="X300" t="s">
        <v>93</v>
      </c>
      <c r="Y300">
        <v>4</v>
      </c>
      <c r="Z300">
        <v>21</v>
      </c>
      <c r="AA300">
        <v>1</v>
      </c>
      <c r="AB300" t="s">
        <v>130</v>
      </c>
      <c r="AC300" t="s">
        <v>56</v>
      </c>
      <c r="AD300">
        <v>2025</v>
      </c>
    </row>
    <row r="301" spans="1:30" x14ac:dyDescent="0.45">
      <c r="A301" t="s">
        <v>688</v>
      </c>
      <c r="B301" t="s">
        <v>689</v>
      </c>
      <c r="C301" t="str">
        <f>_xlfn.XLOOKUP(Sales_Data[[#This Row],[Product_ID]],Product_Master[Product_ID],Product_Master[Product],"Not Found")</f>
        <v>uPVC Windows</v>
      </c>
      <c r="D301" s="3">
        <v>46020</v>
      </c>
      <c r="E301" t="s">
        <v>59</v>
      </c>
      <c r="F301" t="s">
        <v>26</v>
      </c>
      <c r="G301" t="s">
        <v>40</v>
      </c>
      <c r="H301" t="s">
        <v>112</v>
      </c>
      <c r="I301" t="s">
        <v>62</v>
      </c>
      <c r="J301" t="s">
        <v>63</v>
      </c>
      <c r="K301" t="s">
        <v>31</v>
      </c>
      <c r="L301">
        <v>4</v>
      </c>
      <c r="M301">
        <v>18949</v>
      </c>
      <c r="N301">
        <v>0</v>
      </c>
      <c r="O301">
        <v>75796</v>
      </c>
      <c r="P301">
        <v>0</v>
      </c>
      <c r="Q301">
        <v>75796</v>
      </c>
      <c r="R301">
        <f>YEAR(Sales_Data[[#This Row],[Order_Date]])</f>
        <v>2025</v>
      </c>
      <c r="S301" t="str">
        <f>TEXT(Sales_Data[[#This Row],[Order_Date]],"mmmm")</f>
        <v>December</v>
      </c>
      <c r="T301">
        <f t="shared" si="4"/>
        <v>12</v>
      </c>
      <c r="U301" t="str">
        <f>"Q"&amp;ROUNDUP(MONTH(Sales_Data[[#This Row],[Order_Date]])/3,0)</f>
        <v>Q4</v>
      </c>
      <c r="V301" t="s">
        <v>32</v>
      </c>
      <c r="W301" t="s">
        <v>65</v>
      </c>
      <c r="X301" t="s">
        <v>66</v>
      </c>
      <c r="Y301">
        <v>3</v>
      </c>
      <c r="Z301">
        <v>22</v>
      </c>
      <c r="AA301">
        <v>4</v>
      </c>
      <c r="AB301" t="s">
        <v>113</v>
      </c>
      <c r="AC301" t="s">
        <v>36</v>
      </c>
      <c r="AD301">
        <v>2025</v>
      </c>
    </row>
    <row r="302" spans="1:30" x14ac:dyDescent="0.45">
      <c r="A302" t="s">
        <v>690</v>
      </c>
      <c r="B302" t="s">
        <v>691</v>
      </c>
      <c r="C302" t="str">
        <f>_xlfn.XLOOKUP(Sales_Data[[#This Row],[Product_ID]],Product_Master[Product_ID],Product_Master[Product],"Not Found")</f>
        <v>Casement Windows</v>
      </c>
      <c r="D302" s="3">
        <v>45883</v>
      </c>
      <c r="E302" t="s">
        <v>59</v>
      </c>
      <c r="F302" t="s">
        <v>60</v>
      </c>
      <c r="G302" t="s">
        <v>82</v>
      </c>
      <c r="H302" t="s">
        <v>51</v>
      </c>
      <c r="I302" t="s">
        <v>75</v>
      </c>
      <c r="J302" t="s">
        <v>76</v>
      </c>
      <c r="K302" t="s">
        <v>31</v>
      </c>
      <c r="L302">
        <v>4</v>
      </c>
      <c r="M302">
        <v>28660</v>
      </c>
      <c r="N302">
        <v>0.05</v>
      </c>
      <c r="O302">
        <v>114640</v>
      </c>
      <c r="P302">
        <v>5732</v>
      </c>
      <c r="Q302">
        <v>108908</v>
      </c>
      <c r="R302">
        <f>YEAR(Sales_Data[[#This Row],[Order_Date]])</f>
        <v>2025</v>
      </c>
      <c r="S302" t="str">
        <f>TEXT(Sales_Data[[#This Row],[Order_Date]],"mmmm")</f>
        <v>August</v>
      </c>
      <c r="T302">
        <f t="shared" si="4"/>
        <v>8</v>
      </c>
      <c r="U302" t="str">
        <f>"Q"&amp;ROUNDUP(MONTH(Sales_Data[[#This Row],[Order_Date]])/3,0)</f>
        <v>Q3</v>
      </c>
      <c r="V302" t="s">
        <v>122</v>
      </c>
      <c r="W302" t="s">
        <v>33</v>
      </c>
      <c r="X302" t="s">
        <v>45</v>
      </c>
      <c r="Y302">
        <v>1</v>
      </c>
      <c r="Z302">
        <v>11</v>
      </c>
      <c r="AA302">
        <v>4</v>
      </c>
      <c r="AB302" t="s">
        <v>123</v>
      </c>
      <c r="AC302" t="s">
        <v>90</v>
      </c>
      <c r="AD302">
        <v>2025</v>
      </c>
    </row>
    <row r="303" spans="1:30" x14ac:dyDescent="0.45">
      <c r="A303" t="s">
        <v>692</v>
      </c>
      <c r="B303" t="s">
        <v>693</v>
      </c>
      <c r="C303" t="str">
        <f>_xlfn.XLOOKUP(Sales_Data[[#This Row],[Product_ID]],Product_Master[Product_ID],Product_Master[Product],"Not Found")</f>
        <v>uPVC Windows</v>
      </c>
      <c r="D303" s="3">
        <v>45818</v>
      </c>
      <c r="E303" t="s">
        <v>59</v>
      </c>
      <c r="F303" t="s">
        <v>39</v>
      </c>
      <c r="G303" t="s">
        <v>50</v>
      </c>
      <c r="H303" t="s">
        <v>71</v>
      </c>
      <c r="I303" t="s">
        <v>62</v>
      </c>
      <c r="J303" t="s">
        <v>63</v>
      </c>
      <c r="K303" t="s">
        <v>31</v>
      </c>
      <c r="L303">
        <v>6</v>
      </c>
      <c r="M303">
        <v>19218</v>
      </c>
      <c r="N303">
        <v>0.05</v>
      </c>
      <c r="O303">
        <v>115308</v>
      </c>
      <c r="P303">
        <v>5765.4</v>
      </c>
      <c r="Q303">
        <v>109542.6</v>
      </c>
      <c r="R303">
        <f>YEAR(Sales_Data[[#This Row],[Order_Date]])</f>
        <v>2025</v>
      </c>
      <c r="S303" t="str">
        <f>TEXT(Sales_Data[[#This Row],[Order_Date]],"mmmm")</f>
        <v>June</v>
      </c>
      <c r="T303">
        <f t="shared" si="4"/>
        <v>6</v>
      </c>
      <c r="U303" t="str">
        <f>"Q"&amp;ROUNDUP(MONTH(Sales_Data[[#This Row],[Order_Date]])/3,0)</f>
        <v>Q2</v>
      </c>
      <c r="V303" t="s">
        <v>64</v>
      </c>
      <c r="W303" t="s">
        <v>33</v>
      </c>
      <c r="X303" t="s">
        <v>34</v>
      </c>
      <c r="Y303">
        <v>2</v>
      </c>
      <c r="Z303">
        <v>10</v>
      </c>
      <c r="AA303">
        <v>5</v>
      </c>
      <c r="AB303" t="s">
        <v>46</v>
      </c>
      <c r="AC303" t="s">
        <v>47</v>
      </c>
      <c r="AD303">
        <v>2025</v>
      </c>
    </row>
    <row r="304" spans="1:30" x14ac:dyDescent="0.45">
      <c r="A304" t="s">
        <v>694</v>
      </c>
      <c r="B304" t="s">
        <v>695</v>
      </c>
      <c r="C304" t="str">
        <f>_xlfn.XLOOKUP(Sales_Data[[#This Row],[Product_ID]],Product_Master[Product_ID],Product_Master[Product],"Not Found")</f>
        <v>uPVC Windows</v>
      </c>
      <c r="D304" s="3">
        <v>45798</v>
      </c>
      <c r="E304" t="s">
        <v>25</v>
      </c>
      <c r="F304" t="s">
        <v>26</v>
      </c>
      <c r="G304" t="s">
        <v>116</v>
      </c>
      <c r="H304" t="s">
        <v>71</v>
      </c>
      <c r="I304" t="s">
        <v>62</v>
      </c>
      <c r="J304" t="s">
        <v>63</v>
      </c>
      <c r="K304" t="s">
        <v>31</v>
      </c>
      <c r="L304">
        <v>1</v>
      </c>
      <c r="M304">
        <v>16545</v>
      </c>
      <c r="N304">
        <v>0.05</v>
      </c>
      <c r="O304">
        <v>16545</v>
      </c>
      <c r="P304">
        <v>827.25</v>
      </c>
      <c r="Q304">
        <v>15717.75</v>
      </c>
      <c r="R304">
        <f>YEAR(Sales_Data[[#This Row],[Order_Date]])</f>
        <v>2025</v>
      </c>
      <c r="S304" t="str">
        <f>TEXT(Sales_Data[[#This Row],[Order_Date]],"mmmm")</f>
        <v>May</v>
      </c>
      <c r="T304">
        <f t="shared" si="4"/>
        <v>5</v>
      </c>
      <c r="U304" t="str">
        <f>"Q"&amp;ROUNDUP(MONTH(Sales_Data[[#This Row],[Order_Date]])/3,0)</f>
        <v>Q2</v>
      </c>
      <c r="V304" t="s">
        <v>32</v>
      </c>
      <c r="W304" t="s">
        <v>65</v>
      </c>
      <c r="X304" t="s">
        <v>66</v>
      </c>
      <c r="Y304">
        <v>1</v>
      </c>
      <c r="Z304">
        <v>21</v>
      </c>
      <c r="AA304">
        <v>5</v>
      </c>
      <c r="AB304" t="s">
        <v>72</v>
      </c>
      <c r="AC304" t="s">
        <v>47</v>
      </c>
      <c r="AD304">
        <v>2025</v>
      </c>
    </row>
    <row r="305" spans="1:30" x14ac:dyDescent="0.45">
      <c r="A305" t="s">
        <v>696</v>
      </c>
      <c r="B305" t="s">
        <v>697</v>
      </c>
      <c r="C305" t="str">
        <f>_xlfn.XLOOKUP(Sales_Data[[#This Row],[Product_ID]],Product_Master[Product_ID],Product_Master[Product],"Not Found")</f>
        <v>Sliding Doors</v>
      </c>
      <c r="D305" s="3">
        <v>45800</v>
      </c>
      <c r="E305" t="s">
        <v>59</v>
      </c>
      <c r="F305" t="s">
        <v>70</v>
      </c>
      <c r="G305" t="s">
        <v>61</v>
      </c>
      <c r="H305" t="s">
        <v>112</v>
      </c>
      <c r="I305" t="s">
        <v>101</v>
      </c>
      <c r="J305" t="s">
        <v>102</v>
      </c>
      <c r="K305" t="s">
        <v>43</v>
      </c>
      <c r="L305">
        <v>1</v>
      </c>
      <c r="M305">
        <v>38764</v>
      </c>
      <c r="N305">
        <v>0.1</v>
      </c>
      <c r="O305">
        <v>38764</v>
      </c>
      <c r="P305">
        <v>3876.4</v>
      </c>
      <c r="Q305">
        <v>34887.599999999999</v>
      </c>
      <c r="R305">
        <f>YEAR(Sales_Data[[#This Row],[Order_Date]])</f>
        <v>2025</v>
      </c>
      <c r="S305" t="str">
        <f>TEXT(Sales_Data[[#This Row],[Order_Date]],"mmmm")</f>
        <v>May</v>
      </c>
      <c r="T305">
        <f t="shared" si="4"/>
        <v>5</v>
      </c>
      <c r="U305" t="str">
        <f>"Q"&amp;ROUNDUP(MONTH(Sales_Data[[#This Row],[Order_Date]])/3,0)</f>
        <v>Q2</v>
      </c>
      <c r="V305" t="s">
        <v>32</v>
      </c>
      <c r="W305" t="s">
        <v>33</v>
      </c>
      <c r="X305" t="s">
        <v>66</v>
      </c>
      <c r="Y305">
        <v>7</v>
      </c>
      <c r="Z305">
        <v>9</v>
      </c>
      <c r="AA305">
        <v>5</v>
      </c>
      <c r="AB305" t="s">
        <v>72</v>
      </c>
      <c r="AC305" t="s">
        <v>47</v>
      </c>
      <c r="AD305">
        <v>2025</v>
      </c>
    </row>
    <row r="306" spans="1:30" x14ac:dyDescent="0.45">
      <c r="A306" t="s">
        <v>698</v>
      </c>
      <c r="B306" t="s">
        <v>699</v>
      </c>
      <c r="C306" t="str">
        <f>_xlfn.XLOOKUP(Sales_Data[[#This Row],[Product_ID]],Product_Master[Product_ID],Product_Master[Product],"Not Found")</f>
        <v>uPVC Doors</v>
      </c>
      <c r="D306" s="3">
        <v>45736</v>
      </c>
      <c r="E306" t="s">
        <v>25</v>
      </c>
      <c r="F306" t="s">
        <v>39</v>
      </c>
      <c r="G306" t="s">
        <v>139</v>
      </c>
      <c r="H306" t="s">
        <v>51</v>
      </c>
      <c r="I306" t="s">
        <v>107</v>
      </c>
      <c r="J306" t="s">
        <v>108</v>
      </c>
      <c r="K306" t="s">
        <v>43</v>
      </c>
      <c r="L306">
        <v>1</v>
      </c>
      <c r="M306">
        <v>29332</v>
      </c>
      <c r="N306">
        <v>0.15</v>
      </c>
      <c r="O306">
        <v>29332</v>
      </c>
      <c r="P306">
        <v>4399.8</v>
      </c>
      <c r="Q306">
        <v>24932.2</v>
      </c>
      <c r="R306">
        <f>YEAR(Sales_Data[[#This Row],[Order_Date]])</f>
        <v>2025</v>
      </c>
      <c r="S306" t="str">
        <f>TEXT(Sales_Data[[#This Row],[Order_Date]],"mmmm")</f>
        <v>March</v>
      </c>
      <c r="T306">
        <f t="shared" si="4"/>
        <v>3</v>
      </c>
      <c r="U306" t="str">
        <f>"Q"&amp;ROUNDUP(MONTH(Sales_Data[[#This Row],[Order_Date]])/3,0)</f>
        <v>Q1</v>
      </c>
      <c r="V306" t="s">
        <v>64</v>
      </c>
      <c r="W306" t="s">
        <v>33</v>
      </c>
      <c r="X306" t="s">
        <v>66</v>
      </c>
      <c r="Y306">
        <v>4</v>
      </c>
      <c r="Z306">
        <v>7</v>
      </c>
      <c r="AA306">
        <v>4</v>
      </c>
      <c r="AB306" t="s">
        <v>130</v>
      </c>
      <c r="AC306" t="s">
        <v>56</v>
      </c>
      <c r="AD306">
        <v>2025</v>
      </c>
    </row>
    <row r="307" spans="1:30" x14ac:dyDescent="0.45">
      <c r="A307" t="s">
        <v>700</v>
      </c>
      <c r="B307" t="s">
        <v>701</v>
      </c>
      <c r="C307" t="str">
        <f>_xlfn.XLOOKUP(Sales_Data[[#This Row],[Product_ID]],Product_Master[Product_ID],Product_Master[Product],"Not Found")</f>
        <v>Soundproof Windows</v>
      </c>
      <c r="D307" s="3">
        <v>45839</v>
      </c>
      <c r="E307" t="s">
        <v>25</v>
      </c>
      <c r="F307" t="s">
        <v>39</v>
      </c>
      <c r="G307" t="s">
        <v>61</v>
      </c>
      <c r="H307" t="s">
        <v>112</v>
      </c>
      <c r="I307" t="s">
        <v>29</v>
      </c>
      <c r="J307" t="s">
        <v>30</v>
      </c>
      <c r="K307" t="s">
        <v>31</v>
      </c>
      <c r="L307">
        <v>1</v>
      </c>
      <c r="M307">
        <v>45082</v>
      </c>
      <c r="N307">
        <v>0.2</v>
      </c>
      <c r="O307">
        <v>45082</v>
      </c>
      <c r="P307">
        <v>9016.4</v>
      </c>
      <c r="Q307">
        <v>36065.599999999999</v>
      </c>
      <c r="R307">
        <f>YEAR(Sales_Data[[#This Row],[Order_Date]])</f>
        <v>2025</v>
      </c>
      <c r="S307" t="str">
        <f>TEXT(Sales_Data[[#This Row],[Order_Date]],"mmmm")</f>
        <v>July</v>
      </c>
      <c r="T307">
        <f t="shared" si="4"/>
        <v>7</v>
      </c>
      <c r="U307" t="str">
        <f>"Q"&amp;ROUNDUP(MONTH(Sales_Data[[#This Row],[Order_Date]])/3,0)</f>
        <v>Q3</v>
      </c>
      <c r="V307" t="s">
        <v>44</v>
      </c>
      <c r="W307" t="s">
        <v>65</v>
      </c>
      <c r="X307" t="s">
        <v>93</v>
      </c>
      <c r="Y307">
        <v>1</v>
      </c>
      <c r="Z307">
        <v>16</v>
      </c>
      <c r="AA307">
        <v>2</v>
      </c>
      <c r="AB307" t="s">
        <v>155</v>
      </c>
      <c r="AC307" t="s">
        <v>90</v>
      </c>
      <c r="AD307">
        <v>2025</v>
      </c>
    </row>
    <row r="308" spans="1:30" x14ac:dyDescent="0.45">
      <c r="A308" t="s">
        <v>702</v>
      </c>
      <c r="B308" t="s">
        <v>703</v>
      </c>
      <c r="C308" t="str">
        <f>_xlfn.XLOOKUP(Sales_Data[[#This Row],[Product_ID]],Product_Master[Product_ID],Product_Master[Product],"Not Found")</f>
        <v>Bi-Fold Doors</v>
      </c>
      <c r="D308" s="3">
        <v>45790</v>
      </c>
      <c r="E308" t="s">
        <v>25</v>
      </c>
      <c r="F308" t="s">
        <v>60</v>
      </c>
      <c r="G308" t="s">
        <v>27</v>
      </c>
      <c r="H308" t="s">
        <v>119</v>
      </c>
      <c r="I308" t="s">
        <v>41</v>
      </c>
      <c r="J308" t="s">
        <v>42</v>
      </c>
      <c r="K308" t="s">
        <v>43</v>
      </c>
      <c r="L308">
        <v>1</v>
      </c>
      <c r="M308">
        <v>62623</v>
      </c>
      <c r="N308">
        <v>0.15</v>
      </c>
      <c r="O308">
        <v>62623</v>
      </c>
      <c r="P308">
        <v>9393.4500000000007</v>
      </c>
      <c r="Q308">
        <v>53229.55</v>
      </c>
      <c r="R308">
        <f>YEAR(Sales_Data[[#This Row],[Order_Date]])</f>
        <v>2025</v>
      </c>
      <c r="S308" t="str">
        <f>TEXT(Sales_Data[[#This Row],[Order_Date]],"mmmm")</f>
        <v>May</v>
      </c>
      <c r="T308">
        <f t="shared" si="4"/>
        <v>5</v>
      </c>
      <c r="U308" t="str">
        <f>"Q"&amp;ROUNDUP(MONTH(Sales_Data[[#This Row],[Order_Date]])/3,0)</f>
        <v>Q2</v>
      </c>
      <c r="V308" t="s">
        <v>44</v>
      </c>
      <c r="W308" t="s">
        <v>33</v>
      </c>
      <c r="X308" t="s">
        <v>45</v>
      </c>
      <c r="Y308">
        <v>2</v>
      </c>
      <c r="Z308">
        <v>15</v>
      </c>
      <c r="AA308">
        <v>5</v>
      </c>
      <c r="AB308" t="s">
        <v>72</v>
      </c>
      <c r="AC308" t="s">
        <v>47</v>
      </c>
      <c r="AD308">
        <v>2025</v>
      </c>
    </row>
    <row r="309" spans="1:30" x14ac:dyDescent="0.45">
      <c r="A309" t="s">
        <v>704</v>
      </c>
      <c r="B309" t="s">
        <v>705</v>
      </c>
      <c r="C309" t="str">
        <f>_xlfn.XLOOKUP(Sales_Data[[#This Row],[Product_ID]],Product_Master[Product_ID],Product_Master[Product],"Not Found")</f>
        <v>uPVC Windows</v>
      </c>
      <c r="D309" s="3">
        <v>45944</v>
      </c>
      <c r="E309" t="s">
        <v>59</v>
      </c>
      <c r="F309" t="s">
        <v>26</v>
      </c>
      <c r="G309" t="s">
        <v>116</v>
      </c>
      <c r="H309" t="s">
        <v>112</v>
      </c>
      <c r="I309" t="s">
        <v>62</v>
      </c>
      <c r="J309" t="s">
        <v>63</v>
      </c>
      <c r="K309" t="s">
        <v>31</v>
      </c>
      <c r="L309">
        <v>3</v>
      </c>
      <c r="M309">
        <v>18682</v>
      </c>
      <c r="N309">
        <v>0.15</v>
      </c>
      <c r="O309">
        <v>56046</v>
      </c>
      <c r="P309">
        <v>8406.9</v>
      </c>
      <c r="Q309">
        <v>47639.1</v>
      </c>
      <c r="R309">
        <f>YEAR(Sales_Data[[#This Row],[Order_Date]])</f>
        <v>2025</v>
      </c>
      <c r="S309" t="str">
        <f>TEXT(Sales_Data[[#This Row],[Order_Date]],"mmmm")</f>
        <v>October</v>
      </c>
      <c r="T309">
        <f t="shared" si="4"/>
        <v>10</v>
      </c>
      <c r="U309" t="str">
        <f>"Q"&amp;ROUNDUP(MONTH(Sales_Data[[#This Row],[Order_Date]])/3,0)</f>
        <v>Q4</v>
      </c>
      <c r="V309" t="s">
        <v>32</v>
      </c>
      <c r="W309" t="s">
        <v>54</v>
      </c>
      <c r="X309" t="s">
        <v>45</v>
      </c>
      <c r="Y309">
        <v>1</v>
      </c>
      <c r="Z309">
        <v>7</v>
      </c>
      <c r="AA309">
        <v>3</v>
      </c>
      <c r="AB309" t="s">
        <v>35</v>
      </c>
      <c r="AC309" t="s">
        <v>36</v>
      </c>
      <c r="AD309">
        <v>2025</v>
      </c>
    </row>
    <row r="310" spans="1:30" x14ac:dyDescent="0.45">
      <c r="A310" t="s">
        <v>706</v>
      </c>
      <c r="B310" t="s">
        <v>707</v>
      </c>
      <c r="C310" t="str">
        <f>_xlfn.XLOOKUP(Sales_Data[[#This Row],[Product_ID]],Product_Master[Product_ID],Product_Master[Product],"Not Found")</f>
        <v>French Doors</v>
      </c>
      <c r="D310" s="3">
        <v>45770</v>
      </c>
      <c r="E310" t="s">
        <v>59</v>
      </c>
      <c r="F310" t="s">
        <v>26</v>
      </c>
      <c r="G310" t="s">
        <v>40</v>
      </c>
      <c r="H310" t="s">
        <v>83</v>
      </c>
      <c r="I310" t="s">
        <v>84</v>
      </c>
      <c r="J310" t="s">
        <v>85</v>
      </c>
      <c r="K310" t="s">
        <v>43</v>
      </c>
      <c r="L310">
        <v>4</v>
      </c>
      <c r="M310">
        <v>45056</v>
      </c>
      <c r="N310">
        <v>0.15</v>
      </c>
      <c r="O310">
        <v>180224</v>
      </c>
      <c r="P310">
        <v>27033.599999999999</v>
      </c>
      <c r="Q310">
        <v>153190.39999999999</v>
      </c>
      <c r="R310">
        <f>YEAR(Sales_Data[[#This Row],[Order_Date]])</f>
        <v>2025</v>
      </c>
      <c r="S310" t="str">
        <f>TEXT(Sales_Data[[#This Row],[Order_Date]],"mmmm")</f>
        <v>April</v>
      </c>
      <c r="T310">
        <f t="shared" si="4"/>
        <v>4</v>
      </c>
      <c r="U310" t="str">
        <f>"Q"&amp;ROUNDUP(MONTH(Sales_Data[[#This Row],[Order_Date]])/3,0)</f>
        <v>Q2</v>
      </c>
      <c r="V310" t="s">
        <v>64</v>
      </c>
      <c r="W310" t="s">
        <v>54</v>
      </c>
      <c r="X310" t="s">
        <v>45</v>
      </c>
      <c r="Y310">
        <v>6</v>
      </c>
      <c r="Z310">
        <v>21</v>
      </c>
      <c r="AA310">
        <v>5</v>
      </c>
      <c r="AB310" t="s">
        <v>77</v>
      </c>
      <c r="AC310" t="s">
        <v>47</v>
      </c>
      <c r="AD310">
        <v>2025</v>
      </c>
    </row>
    <row r="311" spans="1:30" x14ac:dyDescent="0.45">
      <c r="A311" t="s">
        <v>708</v>
      </c>
      <c r="B311" t="s">
        <v>709</v>
      </c>
      <c r="C311" t="str">
        <f>_xlfn.XLOOKUP(Sales_Data[[#This Row],[Product_ID]],Product_Master[Product_ID],Product_Master[Product],"Not Found")</f>
        <v>uPVC Doors</v>
      </c>
      <c r="D311" s="3">
        <v>45817</v>
      </c>
      <c r="E311" t="s">
        <v>59</v>
      </c>
      <c r="F311" t="s">
        <v>60</v>
      </c>
      <c r="G311" t="s">
        <v>139</v>
      </c>
      <c r="H311" t="s">
        <v>51</v>
      </c>
      <c r="I311" t="s">
        <v>107</v>
      </c>
      <c r="J311" t="s">
        <v>108</v>
      </c>
      <c r="K311" t="s">
        <v>43</v>
      </c>
      <c r="L311">
        <v>2</v>
      </c>
      <c r="M311">
        <v>30368</v>
      </c>
      <c r="N311">
        <v>0.15</v>
      </c>
      <c r="O311">
        <v>60736</v>
      </c>
      <c r="P311">
        <v>9110.4</v>
      </c>
      <c r="Q311">
        <v>51625.599999999999</v>
      </c>
      <c r="R311">
        <f>YEAR(Sales_Data[[#This Row],[Order_Date]])</f>
        <v>2025</v>
      </c>
      <c r="S311" t="str">
        <f>TEXT(Sales_Data[[#This Row],[Order_Date]],"mmmm")</f>
        <v>June</v>
      </c>
      <c r="T311">
        <f t="shared" si="4"/>
        <v>6</v>
      </c>
      <c r="U311" t="str">
        <f>"Q"&amp;ROUNDUP(MONTH(Sales_Data[[#This Row],[Order_Date]])/3,0)</f>
        <v>Q2</v>
      </c>
      <c r="V311" t="s">
        <v>64</v>
      </c>
      <c r="W311" t="s">
        <v>65</v>
      </c>
      <c r="X311" t="s">
        <v>45</v>
      </c>
      <c r="Y311">
        <v>4</v>
      </c>
      <c r="Z311">
        <v>25</v>
      </c>
      <c r="AA311">
        <v>5</v>
      </c>
      <c r="AB311" t="s">
        <v>46</v>
      </c>
      <c r="AC311" t="s">
        <v>47</v>
      </c>
      <c r="AD311">
        <v>2025</v>
      </c>
    </row>
    <row r="312" spans="1:30" x14ac:dyDescent="0.45">
      <c r="A312" t="s">
        <v>710</v>
      </c>
      <c r="B312" t="s">
        <v>711</v>
      </c>
      <c r="C312" t="str">
        <f>_xlfn.XLOOKUP(Sales_Data[[#This Row],[Product_ID]],Product_Master[Product_ID],Product_Master[Product],"Not Found")</f>
        <v>Sliding Doors</v>
      </c>
      <c r="D312" s="3">
        <v>45816</v>
      </c>
      <c r="E312" t="s">
        <v>25</v>
      </c>
      <c r="F312" t="s">
        <v>70</v>
      </c>
      <c r="G312" t="s">
        <v>139</v>
      </c>
      <c r="H312" t="s">
        <v>71</v>
      </c>
      <c r="I312" t="s">
        <v>101</v>
      </c>
      <c r="J312" t="s">
        <v>102</v>
      </c>
      <c r="K312" t="s">
        <v>43</v>
      </c>
      <c r="L312">
        <v>5</v>
      </c>
      <c r="M312">
        <v>33537</v>
      </c>
      <c r="N312">
        <v>0.15</v>
      </c>
      <c r="O312">
        <v>167685</v>
      </c>
      <c r="P312">
        <v>25152.75</v>
      </c>
      <c r="Q312">
        <v>142532.25</v>
      </c>
      <c r="R312">
        <f>YEAR(Sales_Data[[#This Row],[Order_Date]])</f>
        <v>2025</v>
      </c>
      <c r="S312" t="str">
        <f>TEXT(Sales_Data[[#This Row],[Order_Date]],"mmmm")</f>
        <v>June</v>
      </c>
      <c r="T312">
        <f t="shared" si="4"/>
        <v>6</v>
      </c>
      <c r="U312" t="str">
        <f>"Q"&amp;ROUNDUP(MONTH(Sales_Data[[#This Row],[Order_Date]])/3,0)</f>
        <v>Q2</v>
      </c>
      <c r="V312" t="s">
        <v>32</v>
      </c>
      <c r="W312" t="s">
        <v>33</v>
      </c>
      <c r="X312" t="s">
        <v>45</v>
      </c>
      <c r="Y312">
        <v>2</v>
      </c>
      <c r="Z312">
        <v>20</v>
      </c>
      <c r="AA312">
        <v>5</v>
      </c>
      <c r="AB312" t="s">
        <v>46</v>
      </c>
      <c r="AC312" t="s">
        <v>47</v>
      </c>
      <c r="AD312">
        <v>2025</v>
      </c>
    </row>
    <row r="313" spans="1:30" x14ac:dyDescent="0.45">
      <c r="A313" t="s">
        <v>712</v>
      </c>
      <c r="B313" t="s">
        <v>713</v>
      </c>
      <c r="C313" t="str">
        <f>_xlfn.XLOOKUP(Sales_Data[[#This Row],[Product_ID]],Product_Master[Product_ID],Product_Master[Product],"Not Found")</f>
        <v>uPVC Doors</v>
      </c>
      <c r="D313" s="3">
        <v>45850</v>
      </c>
      <c r="E313" t="s">
        <v>59</v>
      </c>
      <c r="F313" t="s">
        <v>39</v>
      </c>
      <c r="G313" t="s">
        <v>116</v>
      </c>
      <c r="H313" t="s">
        <v>28</v>
      </c>
      <c r="I313" t="s">
        <v>107</v>
      </c>
      <c r="J313" t="s">
        <v>108</v>
      </c>
      <c r="K313" t="s">
        <v>43</v>
      </c>
      <c r="L313">
        <v>3</v>
      </c>
      <c r="M313">
        <v>28805</v>
      </c>
      <c r="N313">
        <v>0.15</v>
      </c>
      <c r="O313">
        <v>86415</v>
      </c>
      <c r="P313">
        <v>12962.25</v>
      </c>
      <c r="Q313">
        <v>73452.75</v>
      </c>
      <c r="R313">
        <f>YEAR(Sales_Data[[#This Row],[Order_Date]])</f>
        <v>2025</v>
      </c>
      <c r="S313" t="str">
        <f>TEXT(Sales_Data[[#This Row],[Order_Date]],"mmmm")</f>
        <v>July</v>
      </c>
      <c r="T313">
        <f t="shared" si="4"/>
        <v>7</v>
      </c>
      <c r="U313" t="str">
        <f>"Q"&amp;ROUNDUP(MONTH(Sales_Data[[#This Row],[Order_Date]])/3,0)</f>
        <v>Q3</v>
      </c>
      <c r="V313" t="s">
        <v>44</v>
      </c>
      <c r="W313" t="s">
        <v>33</v>
      </c>
      <c r="X313" t="s">
        <v>45</v>
      </c>
      <c r="Y313">
        <v>1</v>
      </c>
      <c r="Z313">
        <v>18</v>
      </c>
      <c r="AA313">
        <v>4</v>
      </c>
      <c r="AB313" t="s">
        <v>155</v>
      </c>
      <c r="AC313" t="s">
        <v>90</v>
      </c>
      <c r="AD313">
        <v>2025</v>
      </c>
    </row>
    <row r="314" spans="1:30" x14ac:dyDescent="0.45">
      <c r="A314" t="s">
        <v>714</v>
      </c>
      <c r="B314" t="s">
        <v>715</v>
      </c>
      <c r="C314" t="str">
        <f>_xlfn.XLOOKUP(Sales_Data[[#This Row],[Product_ID]],Product_Master[Product_ID],Product_Master[Product],"Not Found")</f>
        <v>uPVC Windows</v>
      </c>
      <c r="D314" s="3">
        <v>45932</v>
      </c>
      <c r="E314" t="s">
        <v>25</v>
      </c>
      <c r="F314" t="s">
        <v>26</v>
      </c>
      <c r="G314" t="s">
        <v>27</v>
      </c>
      <c r="H314" t="s">
        <v>112</v>
      </c>
      <c r="I314" t="s">
        <v>62</v>
      </c>
      <c r="J314" t="s">
        <v>63</v>
      </c>
      <c r="K314" t="s">
        <v>31</v>
      </c>
      <c r="L314">
        <v>1</v>
      </c>
      <c r="M314">
        <v>20306</v>
      </c>
      <c r="N314">
        <v>0.15</v>
      </c>
      <c r="O314">
        <v>20306</v>
      </c>
      <c r="P314">
        <v>3045.9</v>
      </c>
      <c r="Q314">
        <v>17260.099999999999</v>
      </c>
      <c r="R314">
        <f>YEAR(Sales_Data[[#This Row],[Order_Date]])</f>
        <v>2025</v>
      </c>
      <c r="S314" t="str">
        <f>TEXT(Sales_Data[[#This Row],[Order_Date]],"mmmm")</f>
        <v>October</v>
      </c>
      <c r="T314">
        <f t="shared" si="4"/>
        <v>10</v>
      </c>
      <c r="U314" t="str">
        <f>"Q"&amp;ROUNDUP(MONTH(Sales_Data[[#This Row],[Order_Date]])/3,0)</f>
        <v>Q4</v>
      </c>
      <c r="V314" t="s">
        <v>32</v>
      </c>
      <c r="W314" t="s">
        <v>65</v>
      </c>
      <c r="X314" t="s">
        <v>45</v>
      </c>
      <c r="Y314">
        <v>5</v>
      </c>
      <c r="Z314">
        <v>29</v>
      </c>
      <c r="AA314">
        <v>4</v>
      </c>
      <c r="AB314" t="s">
        <v>35</v>
      </c>
      <c r="AC314" t="s">
        <v>36</v>
      </c>
      <c r="AD314">
        <v>2025</v>
      </c>
    </row>
    <row r="315" spans="1:30" x14ac:dyDescent="0.45">
      <c r="A315" t="s">
        <v>716</v>
      </c>
      <c r="B315" t="s">
        <v>717</v>
      </c>
      <c r="C315" t="str">
        <f>_xlfn.XLOOKUP(Sales_Data[[#This Row],[Product_ID]],Product_Master[Product_ID],Product_Master[Product],"Not Found")</f>
        <v>Soundproof Windows</v>
      </c>
      <c r="D315" s="3">
        <v>45980</v>
      </c>
      <c r="E315" t="s">
        <v>25</v>
      </c>
      <c r="F315" t="s">
        <v>70</v>
      </c>
      <c r="G315" t="s">
        <v>27</v>
      </c>
      <c r="H315" t="s">
        <v>83</v>
      </c>
      <c r="I315" t="s">
        <v>29</v>
      </c>
      <c r="J315" t="s">
        <v>30</v>
      </c>
      <c r="K315" t="s">
        <v>31</v>
      </c>
      <c r="L315">
        <v>3</v>
      </c>
      <c r="M315">
        <v>53452</v>
      </c>
      <c r="N315">
        <v>0.15</v>
      </c>
      <c r="O315">
        <v>160356</v>
      </c>
      <c r="P315">
        <v>24053.4</v>
      </c>
      <c r="Q315">
        <v>136302.6</v>
      </c>
      <c r="R315">
        <f>YEAR(Sales_Data[[#This Row],[Order_Date]])</f>
        <v>2025</v>
      </c>
      <c r="S315" t="str">
        <f>TEXT(Sales_Data[[#This Row],[Order_Date]],"mmmm")</f>
        <v>November</v>
      </c>
      <c r="T315">
        <f t="shared" si="4"/>
        <v>11</v>
      </c>
      <c r="U315" t="str">
        <f>"Q"&amp;ROUNDUP(MONTH(Sales_Data[[#This Row],[Order_Date]])/3,0)</f>
        <v>Q4</v>
      </c>
      <c r="V315" t="s">
        <v>32</v>
      </c>
      <c r="W315" t="s">
        <v>54</v>
      </c>
      <c r="X315" t="s">
        <v>34</v>
      </c>
      <c r="Y315">
        <v>1</v>
      </c>
      <c r="Z315">
        <v>25</v>
      </c>
      <c r="AA315">
        <v>4</v>
      </c>
      <c r="AB315" t="s">
        <v>67</v>
      </c>
      <c r="AC315" t="s">
        <v>36</v>
      </c>
      <c r="AD315">
        <v>2025</v>
      </c>
    </row>
    <row r="316" spans="1:30" x14ac:dyDescent="0.45">
      <c r="A316" t="s">
        <v>718</v>
      </c>
      <c r="B316" t="s">
        <v>719</v>
      </c>
      <c r="C316" t="str">
        <f>_xlfn.XLOOKUP(Sales_Data[[#This Row],[Product_ID]],Product_Master[Product_ID],Product_Master[Product],"Not Found")</f>
        <v>Aluminium Windows</v>
      </c>
      <c r="D316" s="3">
        <v>45841</v>
      </c>
      <c r="E316" t="s">
        <v>59</v>
      </c>
      <c r="F316" t="s">
        <v>26</v>
      </c>
      <c r="G316" t="s">
        <v>50</v>
      </c>
      <c r="H316" t="s">
        <v>51</v>
      </c>
      <c r="I316" t="s">
        <v>52</v>
      </c>
      <c r="J316" t="s">
        <v>53</v>
      </c>
      <c r="K316" t="s">
        <v>31</v>
      </c>
      <c r="L316">
        <v>1</v>
      </c>
      <c r="M316">
        <v>24787</v>
      </c>
      <c r="N316">
        <v>0.1</v>
      </c>
      <c r="O316">
        <v>24787</v>
      </c>
      <c r="P316">
        <v>2478.6999999999998</v>
      </c>
      <c r="Q316">
        <v>22308.3</v>
      </c>
      <c r="R316">
        <f>YEAR(Sales_Data[[#This Row],[Order_Date]])</f>
        <v>2025</v>
      </c>
      <c r="S316" t="str">
        <f>TEXT(Sales_Data[[#This Row],[Order_Date]],"mmmm")</f>
        <v>July</v>
      </c>
      <c r="T316">
        <f t="shared" si="4"/>
        <v>7</v>
      </c>
      <c r="U316" t="str">
        <f>"Q"&amp;ROUNDUP(MONTH(Sales_Data[[#This Row],[Order_Date]])/3,0)</f>
        <v>Q3</v>
      </c>
      <c r="V316" t="s">
        <v>64</v>
      </c>
      <c r="W316" t="s">
        <v>65</v>
      </c>
      <c r="X316" t="s">
        <v>45</v>
      </c>
      <c r="Y316">
        <v>3</v>
      </c>
      <c r="Z316">
        <v>28</v>
      </c>
      <c r="AA316">
        <v>3</v>
      </c>
      <c r="AB316" t="s">
        <v>155</v>
      </c>
      <c r="AC316" t="s">
        <v>90</v>
      </c>
      <c r="AD316">
        <v>2025</v>
      </c>
    </row>
    <row r="317" spans="1:30" x14ac:dyDescent="0.45">
      <c r="A317" t="s">
        <v>720</v>
      </c>
      <c r="B317" t="s">
        <v>721</v>
      </c>
      <c r="C317" t="str">
        <f>_xlfn.XLOOKUP(Sales_Data[[#This Row],[Product_ID]],Product_Master[Product_ID],Product_Master[Product],"Not Found")</f>
        <v>uPVC Doors</v>
      </c>
      <c r="D317" s="3">
        <v>45766</v>
      </c>
      <c r="E317" t="s">
        <v>59</v>
      </c>
      <c r="F317" t="s">
        <v>26</v>
      </c>
      <c r="G317" t="s">
        <v>111</v>
      </c>
      <c r="H317" t="s">
        <v>88</v>
      </c>
      <c r="I317" t="s">
        <v>107</v>
      </c>
      <c r="J317" t="s">
        <v>108</v>
      </c>
      <c r="K317" t="s">
        <v>43</v>
      </c>
      <c r="L317">
        <v>4</v>
      </c>
      <c r="M317">
        <v>32432</v>
      </c>
      <c r="N317">
        <v>0.05</v>
      </c>
      <c r="O317">
        <v>129728</v>
      </c>
      <c r="P317">
        <v>6486.4</v>
      </c>
      <c r="Q317">
        <v>123241.60000000001</v>
      </c>
      <c r="R317">
        <f>YEAR(Sales_Data[[#This Row],[Order_Date]])</f>
        <v>2025</v>
      </c>
      <c r="S317" t="str">
        <f>TEXT(Sales_Data[[#This Row],[Order_Date]],"mmmm")</f>
        <v>April</v>
      </c>
      <c r="T317">
        <f t="shared" si="4"/>
        <v>4</v>
      </c>
      <c r="U317" t="str">
        <f>"Q"&amp;ROUNDUP(MONTH(Sales_Data[[#This Row],[Order_Date]])/3,0)</f>
        <v>Q2</v>
      </c>
      <c r="V317" t="s">
        <v>32</v>
      </c>
      <c r="W317" t="s">
        <v>33</v>
      </c>
      <c r="X317" t="s">
        <v>45</v>
      </c>
      <c r="Y317">
        <v>2</v>
      </c>
      <c r="Z317">
        <v>12</v>
      </c>
      <c r="AA317">
        <v>4</v>
      </c>
      <c r="AB317" t="s">
        <v>77</v>
      </c>
      <c r="AC317" t="s">
        <v>47</v>
      </c>
      <c r="AD317">
        <v>2025</v>
      </c>
    </row>
    <row r="318" spans="1:30" x14ac:dyDescent="0.45">
      <c r="A318" t="s">
        <v>722</v>
      </c>
      <c r="B318" t="s">
        <v>723</v>
      </c>
      <c r="C318" t="str">
        <f>_xlfn.XLOOKUP(Sales_Data[[#This Row],[Product_ID]],Product_Master[Product_ID],Product_Master[Product],"Not Found")</f>
        <v>Sliding Doors</v>
      </c>
      <c r="D318" s="3">
        <v>45811</v>
      </c>
      <c r="E318" t="s">
        <v>59</v>
      </c>
      <c r="F318" t="s">
        <v>26</v>
      </c>
      <c r="G318" t="s">
        <v>61</v>
      </c>
      <c r="H318" t="s">
        <v>71</v>
      </c>
      <c r="I318" t="s">
        <v>101</v>
      </c>
      <c r="J318" t="s">
        <v>102</v>
      </c>
      <c r="K318" t="s">
        <v>43</v>
      </c>
      <c r="L318">
        <v>6</v>
      </c>
      <c r="M318">
        <v>32073</v>
      </c>
      <c r="N318">
        <v>0.1</v>
      </c>
      <c r="O318">
        <v>192438</v>
      </c>
      <c r="P318">
        <v>19243.8</v>
      </c>
      <c r="Q318">
        <v>173194.2</v>
      </c>
      <c r="R318">
        <f>YEAR(Sales_Data[[#This Row],[Order_Date]])</f>
        <v>2025</v>
      </c>
      <c r="S318" t="str">
        <f>TEXT(Sales_Data[[#This Row],[Order_Date]],"mmmm")</f>
        <v>June</v>
      </c>
      <c r="T318">
        <f t="shared" si="4"/>
        <v>6</v>
      </c>
      <c r="U318" t="str">
        <f>"Q"&amp;ROUNDUP(MONTH(Sales_Data[[#This Row],[Order_Date]])/3,0)</f>
        <v>Q2</v>
      </c>
      <c r="V318" t="s">
        <v>98</v>
      </c>
      <c r="W318" t="s">
        <v>33</v>
      </c>
      <c r="X318" t="s">
        <v>66</v>
      </c>
      <c r="Y318">
        <v>5</v>
      </c>
      <c r="Z318">
        <v>28</v>
      </c>
      <c r="AA318">
        <v>2</v>
      </c>
      <c r="AB318" t="s">
        <v>46</v>
      </c>
      <c r="AC318" t="s">
        <v>47</v>
      </c>
      <c r="AD318">
        <v>2025</v>
      </c>
    </row>
    <row r="319" spans="1:30" x14ac:dyDescent="0.45">
      <c r="A319" t="s">
        <v>724</v>
      </c>
      <c r="B319" t="s">
        <v>725</v>
      </c>
      <c r="C319" t="str">
        <f>_xlfn.XLOOKUP(Sales_Data[[#This Row],[Product_ID]],Product_Master[Product_ID],Product_Master[Product],"Not Found")</f>
        <v>Sliding Doors</v>
      </c>
      <c r="D319" s="3">
        <v>45795</v>
      </c>
      <c r="E319" t="s">
        <v>25</v>
      </c>
      <c r="F319" t="s">
        <v>60</v>
      </c>
      <c r="G319" t="s">
        <v>61</v>
      </c>
      <c r="H319" t="s">
        <v>51</v>
      </c>
      <c r="I319" t="s">
        <v>101</v>
      </c>
      <c r="J319" t="s">
        <v>102</v>
      </c>
      <c r="K319" t="s">
        <v>43</v>
      </c>
      <c r="L319">
        <v>3</v>
      </c>
      <c r="M319">
        <v>38526</v>
      </c>
      <c r="N319">
        <v>0.05</v>
      </c>
      <c r="O319">
        <v>115578</v>
      </c>
      <c r="P319">
        <v>5778.9</v>
      </c>
      <c r="Q319">
        <v>109799.1</v>
      </c>
      <c r="R319">
        <f>YEAR(Sales_Data[[#This Row],[Order_Date]])</f>
        <v>2025</v>
      </c>
      <c r="S319" t="str">
        <f>TEXT(Sales_Data[[#This Row],[Order_Date]],"mmmm")</f>
        <v>May</v>
      </c>
      <c r="T319">
        <f t="shared" si="4"/>
        <v>5</v>
      </c>
      <c r="U319" t="str">
        <f>"Q"&amp;ROUNDUP(MONTH(Sales_Data[[#This Row],[Order_Date]])/3,0)</f>
        <v>Q2</v>
      </c>
      <c r="V319" t="s">
        <v>64</v>
      </c>
      <c r="W319" t="s">
        <v>65</v>
      </c>
      <c r="X319" t="s">
        <v>45</v>
      </c>
      <c r="Y319">
        <v>2</v>
      </c>
      <c r="Z319">
        <v>14</v>
      </c>
      <c r="AA319">
        <v>4</v>
      </c>
      <c r="AB319" t="s">
        <v>72</v>
      </c>
      <c r="AC319" t="s">
        <v>47</v>
      </c>
      <c r="AD319">
        <v>2025</v>
      </c>
    </row>
    <row r="320" spans="1:30" x14ac:dyDescent="0.45">
      <c r="A320" t="s">
        <v>726</v>
      </c>
      <c r="B320" t="s">
        <v>727</v>
      </c>
      <c r="C320" t="str">
        <f>_xlfn.XLOOKUP(Sales_Data[[#This Row],[Product_ID]],Product_Master[Product_ID],Product_Master[Product],"Not Found")</f>
        <v>Bi-Fold Doors</v>
      </c>
      <c r="D320" s="3">
        <v>45888</v>
      </c>
      <c r="E320" t="s">
        <v>25</v>
      </c>
      <c r="F320" t="s">
        <v>39</v>
      </c>
      <c r="G320" t="s">
        <v>116</v>
      </c>
      <c r="H320" t="s">
        <v>71</v>
      </c>
      <c r="I320" t="s">
        <v>41</v>
      </c>
      <c r="J320" t="s">
        <v>42</v>
      </c>
      <c r="K320" t="s">
        <v>43</v>
      </c>
      <c r="L320">
        <v>4</v>
      </c>
      <c r="M320">
        <v>52624</v>
      </c>
      <c r="N320">
        <v>0.05</v>
      </c>
      <c r="O320">
        <v>210496</v>
      </c>
      <c r="P320">
        <v>10524.8</v>
      </c>
      <c r="Q320">
        <v>199971.20000000001</v>
      </c>
      <c r="R320">
        <f>YEAR(Sales_Data[[#This Row],[Order_Date]])</f>
        <v>2025</v>
      </c>
      <c r="S320" t="str">
        <f>TEXT(Sales_Data[[#This Row],[Order_Date]],"mmmm")</f>
        <v>August</v>
      </c>
      <c r="T320">
        <f t="shared" si="4"/>
        <v>8</v>
      </c>
      <c r="U320" t="str">
        <f>"Q"&amp;ROUNDUP(MONTH(Sales_Data[[#This Row],[Order_Date]])/3,0)</f>
        <v>Q3</v>
      </c>
      <c r="V320" t="s">
        <v>32</v>
      </c>
      <c r="W320" t="s">
        <v>33</v>
      </c>
      <c r="X320" t="s">
        <v>45</v>
      </c>
      <c r="Y320">
        <v>5</v>
      </c>
      <c r="Z320">
        <v>8</v>
      </c>
      <c r="AA320">
        <v>4</v>
      </c>
      <c r="AB320" t="s">
        <v>123</v>
      </c>
      <c r="AC320" t="s">
        <v>90</v>
      </c>
      <c r="AD320">
        <v>2025</v>
      </c>
    </row>
    <row r="321" spans="1:30" x14ac:dyDescent="0.45">
      <c r="A321" t="s">
        <v>728</v>
      </c>
      <c r="B321" t="s">
        <v>729</v>
      </c>
      <c r="C321" t="str">
        <f>_xlfn.XLOOKUP(Sales_Data[[#This Row],[Product_ID]],Product_Master[Product_ID],Product_Master[Product],"Not Found")</f>
        <v>Soundproof Windows</v>
      </c>
      <c r="D321" s="3">
        <v>45807</v>
      </c>
      <c r="E321" t="s">
        <v>59</v>
      </c>
      <c r="F321" t="s">
        <v>60</v>
      </c>
      <c r="G321" t="s">
        <v>40</v>
      </c>
      <c r="H321" t="s">
        <v>112</v>
      </c>
      <c r="I321" t="s">
        <v>29</v>
      </c>
      <c r="J321" t="s">
        <v>30</v>
      </c>
      <c r="K321" t="s">
        <v>31</v>
      </c>
      <c r="L321">
        <v>2</v>
      </c>
      <c r="M321">
        <v>53084</v>
      </c>
      <c r="N321">
        <v>0.15</v>
      </c>
      <c r="O321">
        <v>106168</v>
      </c>
      <c r="P321">
        <v>15925.2</v>
      </c>
      <c r="Q321">
        <v>90242.8</v>
      </c>
      <c r="R321">
        <f>YEAR(Sales_Data[[#This Row],[Order_Date]])</f>
        <v>2025</v>
      </c>
      <c r="S321" t="str">
        <f>TEXT(Sales_Data[[#This Row],[Order_Date]],"mmmm")</f>
        <v>May</v>
      </c>
      <c r="T321">
        <f t="shared" si="4"/>
        <v>5</v>
      </c>
      <c r="U321" t="str">
        <f>"Q"&amp;ROUNDUP(MONTH(Sales_Data[[#This Row],[Order_Date]])/3,0)</f>
        <v>Q2</v>
      </c>
      <c r="V321" t="s">
        <v>32</v>
      </c>
      <c r="W321" t="s">
        <v>33</v>
      </c>
      <c r="X321" t="s">
        <v>34</v>
      </c>
      <c r="Y321">
        <v>3</v>
      </c>
      <c r="Z321">
        <v>9</v>
      </c>
      <c r="AA321">
        <v>5</v>
      </c>
      <c r="AB321" t="s">
        <v>72</v>
      </c>
      <c r="AC321" t="s">
        <v>47</v>
      </c>
      <c r="AD321">
        <v>2025</v>
      </c>
    </row>
    <row r="322" spans="1:30" x14ac:dyDescent="0.45">
      <c r="A322" t="s">
        <v>730</v>
      </c>
      <c r="B322" t="s">
        <v>731</v>
      </c>
      <c r="C322" t="str">
        <f>_xlfn.XLOOKUP(Sales_Data[[#This Row],[Product_ID]],Product_Master[Product_ID],Product_Master[Product],"Not Found")</f>
        <v>French Doors</v>
      </c>
      <c r="D322" s="3">
        <v>45902</v>
      </c>
      <c r="E322" t="s">
        <v>25</v>
      </c>
      <c r="F322" t="s">
        <v>60</v>
      </c>
      <c r="G322" t="s">
        <v>61</v>
      </c>
      <c r="H322" t="s">
        <v>112</v>
      </c>
      <c r="I322" t="s">
        <v>84</v>
      </c>
      <c r="J322" t="s">
        <v>85</v>
      </c>
      <c r="K322" t="s">
        <v>43</v>
      </c>
      <c r="L322">
        <v>2</v>
      </c>
      <c r="M322">
        <v>40816</v>
      </c>
      <c r="N322">
        <v>0.1</v>
      </c>
      <c r="O322">
        <v>81632</v>
      </c>
      <c r="P322">
        <v>8163.2</v>
      </c>
      <c r="Q322">
        <v>73468.800000000003</v>
      </c>
      <c r="R322">
        <f>YEAR(Sales_Data[[#This Row],[Order_Date]])</f>
        <v>2025</v>
      </c>
      <c r="S322" t="str">
        <f>TEXT(Sales_Data[[#This Row],[Order_Date]],"mmmm")</f>
        <v>September</v>
      </c>
      <c r="T322">
        <f t="shared" ref="T322:T385" si="5">MONTH($D322)</f>
        <v>9</v>
      </c>
      <c r="U322" t="str">
        <f>"Q"&amp;ROUNDUP(MONTH(Sales_Data[[#This Row],[Order_Date]])/3,0)</f>
        <v>Q3</v>
      </c>
      <c r="V322" t="s">
        <v>44</v>
      </c>
      <c r="W322" t="s">
        <v>54</v>
      </c>
      <c r="X322" t="s">
        <v>45</v>
      </c>
      <c r="Y322">
        <v>5</v>
      </c>
      <c r="Z322">
        <v>22</v>
      </c>
      <c r="AA322">
        <v>4</v>
      </c>
      <c r="AB322" t="s">
        <v>89</v>
      </c>
      <c r="AC322" t="s">
        <v>90</v>
      </c>
      <c r="AD322">
        <v>2025</v>
      </c>
    </row>
    <row r="323" spans="1:30" x14ac:dyDescent="0.45">
      <c r="A323" t="s">
        <v>732</v>
      </c>
      <c r="B323" t="s">
        <v>733</v>
      </c>
      <c r="C323" t="str">
        <f>_xlfn.XLOOKUP(Sales_Data[[#This Row],[Product_ID]],Product_Master[Product_ID],Product_Master[Product],"Not Found")</f>
        <v>Bi-Fold Doors</v>
      </c>
      <c r="D323" s="3">
        <v>45997</v>
      </c>
      <c r="E323" t="s">
        <v>59</v>
      </c>
      <c r="F323" t="s">
        <v>39</v>
      </c>
      <c r="G323" t="s">
        <v>50</v>
      </c>
      <c r="H323" t="s">
        <v>88</v>
      </c>
      <c r="I323" t="s">
        <v>41</v>
      </c>
      <c r="J323" t="s">
        <v>42</v>
      </c>
      <c r="K323" t="s">
        <v>43</v>
      </c>
      <c r="L323">
        <v>1</v>
      </c>
      <c r="M323">
        <v>50965</v>
      </c>
      <c r="N323">
        <v>0.1</v>
      </c>
      <c r="O323">
        <v>50965</v>
      </c>
      <c r="P323">
        <v>5096.5</v>
      </c>
      <c r="Q323">
        <v>45868.5</v>
      </c>
      <c r="R323">
        <f>YEAR(Sales_Data[[#This Row],[Order_Date]])</f>
        <v>2025</v>
      </c>
      <c r="S323" t="str">
        <f>TEXT(Sales_Data[[#This Row],[Order_Date]],"mmmm")</f>
        <v>December</v>
      </c>
      <c r="T323">
        <f t="shared" si="5"/>
        <v>12</v>
      </c>
      <c r="U323" t="str">
        <f>"Q"&amp;ROUNDUP(MONTH(Sales_Data[[#This Row],[Order_Date]])/3,0)</f>
        <v>Q4</v>
      </c>
      <c r="V323" t="s">
        <v>122</v>
      </c>
      <c r="W323" t="s">
        <v>33</v>
      </c>
      <c r="X323" t="s">
        <v>45</v>
      </c>
      <c r="Y323">
        <v>2</v>
      </c>
      <c r="Z323">
        <v>17</v>
      </c>
      <c r="AA323">
        <v>4</v>
      </c>
      <c r="AB323" t="s">
        <v>113</v>
      </c>
      <c r="AC323" t="s">
        <v>36</v>
      </c>
      <c r="AD323">
        <v>2025</v>
      </c>
    </row>
    <row r="324" spans="1:30" x14ac:dyDescent="0.45">
      <c r="A324" t="s">
        <v>734</v>
      </c>
      <c r="B324" t="s">
        <v>735</v>
      </c>
      <c r="C324" t="str">
        <f>_xlfn.XLOOKUP(Sales_Data[[#This Row],[Product_ID]],Product_Master[Product_ID],Product_Master[Product],"Not Found")</f>
        <v>French Doors</v>
      </c>
      <c r="D324" s="3">
        <v>45955</v>
      </c>
      <c r="E324" t="s">
        <v>59</v>
      </c>
      <c r="F324" t="s">
        <v>70</v>
      </c>
      <c r="G324" t="s">
        <v>116</v>
      </c>
      <c r="H324" t="s">
        <v>51</v>
      </c>
      <c r="I324" t="s">
        <v>84</v>
      </c>
      <c r="J324" t="s">
        <v>85</v>
      </c>
      <c r="K324" t="s">
        <v>43</v>
      </c>
      <c r="L324">
        <v>3</v>
      </c>
      <c r="M324">
        <v>43421</v>
      </c>
      <c r="N324">
        <v>0.15</v>
      </c>
      <c r="O324">
        <v>130263</v>
      </c>
      <c r="P324">
        <v>19539.45</v>
      </c>
      <c r="Q324">
        <v>110723.55</v>
      </c>
      <c r="R324">
        <f>YEAR(Sales_Data[[#This Row],[Order_Date]])</f>
        <v>2025</v>
      </c>
      <c r="S324" t="str">
        <f>TEXT(Sales_Data[[#This Row],[Order_Date]],"mmmm")</f>
        <v>October</v>
      </c>
      <c r="T324">
        <f t="shared" si="5"/>
        <v>10</v>
      </c>
      <c r="U324" t="str">
        <f>"Q"&amp;ROUNDUP(MONTH(Sales_Data[[#This Row],[Order_Date]])/3,0)</f>
        <v>Q4</v>
      </c>
      <c r="V324" t="s">
        <v>98</v>
      </c>
      <c r="W324" t="s">
        <v>33</v>
      </c>
      <c r="X324" t="s">
        <v>45</v>
      </c>
      <c r="Y324">
        <v>6</v>
      </c>
      <c r="Z324">
        <v>21</v>
      </c>
      <c r="AA324">
        <v>5</v>
      </c>
      <c r="AB324" t="s">
        <v>35</v>
      </c>
      <c r="AC324" t="s">
        <v>36</v>
      </c>
      <c r="AD324">
        <v>2025</v>
      </c>
    </row>
    <row r="325" spans="1:30" x14ac:dyDescent="0.45">
      <c r="A325" t="s">
        <v>736</v>
      </c>
      <c r="B325" t="s">
        <v>737</v>
      </c>
      <c r="C325" t="str">
        <f>_xlfn.XLOOKUP(Sales_Data[[#This Row],[Product_ID]],Product_Master[Product_ID],Product_Master[Product],"Not Found")</f>
        <v>Soundproof Windows</v>
      </c>
      <c r="D325" s="3">
        <v>45787</v>
      </c>
      <c r="E325" t="s">
        <v>25</v>
      </c>
      <c r="F325" t="s">
        <v>39</v>
      </c>
      <c r="G325" t="s">
        <v>40</v>
      </c>
      <c r="H325" t="s">
        <v>71</v>
      </c>
      <c r="I325" t="s">
        <v>29</v>
      </c>
      <c r="J325" t="s">
        <v>30</v>
      </c>
      <c r="K325" t="s">
        <v>31</v>
      </c>
      <c r="L325">
        <v>5</v>
      </c>
      <c r="M325">
        <v>43856</v>
      </c>
      <c r="N325">
        <v>0.1</v>
      </c>
      <c r="O325">
        <v>219280</v>
      </c>
      <c r="P325">
        <v>21928</v>
      </c>
      <c r="Q325">
        <v>197352</v>
      </c>
      <c r="R325">
        <f>YEAR(Sales_Data[[#This Row],[Order_Date]])</f>
        <v>2025</v>
      </c>
      <c r="S325" t="str">
        <f>TEXT(Sales_Data[[#This Row],[Order_Date]],"mmmm")</f>
        <v>May</v>
      </c>
      <c r="T325">
        <f t="shared" si="5"/>
        <v>5</v>
      </c>
      <c r="U325" t="str">
        <f>"Q"&amp;ROUNDUP(MONTH(Sales_Data[[#This Row],[Order_Date]])/3,0)</f>
        <v>Q2</v>
      </c>
      <c r="V325" t="s">
        <v>98</v>
      </c>
      <c r="W325" t="s">
        <v>54</v>
      </c>
      <c r="X325" t="s">
        <v>93</v>
      </c>
      <c r="Y325">
        <v>2</v>
      </c>
      <c r="Z325">
        <v>26</v>
      </c>
      <c r="AA325">
        <v>3</v>
      </c>
      <c r="AB325" t="s">
        <v>72</v>
      </c>
      <c r="AC325" t="s">
        <v>47</v>
      </c>
      <c r="AD325">
        <v>2025</v>
      </c>
    </row>
    <row r="326" spans="1:30" x14ac:dyDescent="0.45">
      <c r="A326" t="s">
        <v>738</v>
      </c>
      <c r="B326" t="s">
        <v>739</v>
      </c>
      <c r="C326" t="str">
        <f>_xlfn.XLOOKUP(Sales_Data[[#This Row],[Product_ID]],Product_Master[Product_ID],Product_Master[Product],"Not Found")</f>
        <v>uPVC Doors</v>
      </c>
      <c r="D326" s="3">
        <v>45725</v>
      </c>
      <c r="E326" t="s">
        <v>25</v>
      </c>
      <c r="F326" t="s">
        <v>70</v>
      </c>
      <c r="G326" t="s">
        <v>61</v>
      </c>
      <c r="H326" t="s">
        <v>88</v>
      </c>
      <c r="I326" t="s">
        <v>107</v>
      </c>
      <c r="J326" t="s">
        <v>108</v>
      </c>
      <c r="K326" t="s">
        <v>43</v>
      </c>
      <c r="L326">
        <v>5</v>
      </c>
      <c r="M326">
        <v>31492</v>
      </c>
      <c r="N326">
        <v>0</v>
      </c>
      <c r="O326">
        <v>157460</v>
      </c>
      <c r="P326">
        <v>0</v>
      </c>
      <c r="Q326">
        <v>157460</v>
      </c>
      <c r="R326">
        <f>YEAR(Sales_Data[[#This Row],[Order_Date]])</f>
        <v>2025</v>
      </c>
      <c r="S326" t="str">
        <f>TEXT(Sales_Data[[#This Row],[Order_Date]],"mmmm")</f>
        <v>March</v>
      </c>
      <c r="T326">
        <f t="shared" si="5"/>
        <v>3</v>
      </c>
      <c r="U326" t="str">
        <f>"Q"&amp;ROUNDUP(MONTH(Sales_Data[[#This Row],[Order_Date]])/3,0)</f>
        <v>Q1</v>
      </c>
      <c r="V326" t="s">
        <v>98</v>
      </c>
      <c r="W326" t="s">
        <v>65</v>
      </c>
      <c r="X326" t="s">
        <v>45</v>
      </c>
      <c r="Y326">
        <v>7</v>
      </c>
      <c r="Z326">
        <v>15</v>
      </c>
      <c r="AA326">
        <v>5</v>
      </c>
      <c r="AB326" t="s">
        <v>130</v>
      </c>
      <c r="AC326" t="s">
        <v>56</v>
      </c>
      <c r="AD326">
        <v>2025</v>
      </c>
    </row>
    <row r="327" spans="1:30" x14ac:dyDescent="0.45">
      <c r="A327" t="s">
        <v>740</v>
      </c>
      <c r="B327" t="s">
        <v>741</v>
      </c>
      <c r="C327" t="str">
        <f>_xlfn.XLOOKUP(Sales_Data[[#This Row],[Product_ID]],Product_Master[Product_ID],Product_Master[Product],"Not Found")</f>
        <v>uPVC Windows</v>
      </c>
      <c r="D327" s="3">
        <v>45761</v>
      </c>
      <c r="E327" t="s">
        <v>25</v>
      </c>
      <c r="F327" t="s">
        <v>39</v>
      </c>
      <c r="G327" t="s">
        <v>40</v>
      </c>
      <c r="H327" t="s">
        <v>88</v>
      </c>
      <c r="I327" t="s">
        <v>62</v>
      </c>
      <c r="J327" t="s">
        <v>63</v>
      </c>
      <c r="K327" t="s">
        <v>31</v>
      </c>
      <c r="L327">
        <v>3</v>
      </c>
      <c r="M327">
        <v>19052</v>
      </c>
      <c r="N327">
        <v>0</v>
      </c>
      <c r="O327">
        <v>57156</v>
      </c>
      <c r="P327">
        <v>0</v>
      </c>
      <c r="Q327">
        <v>57156</v>
      </c>
      <c r="R327">
        <f>YEAR(Sales_Data[[#This Row],[Order_Date]])</f>
        <v>2025</v>
      </c>
      <c r="S327" t="str">
        <f>TEXT(Sales_Data[[#This Row],[Order_Date]],"mmmm")</f>
        <v>April</v>
      </c>
      <c r="T327">
        <f t="shared" si="5"/>
        <v>4</v>
      </c>
      <c r="U327" t="str">
        <f>"Q"&amp;ROUNDUP(MONTH(Sales_Data[[#This Row],[Order_Date]])/3,0)</f>
        <v>Q2</v>
      </c>
      <c r="V327" t="s">
        <v>32</v>
      </c>
      <c r="W327" t="s">
        <v>33</v>
      </c>
      <c r="X327" t="s">
        <v>45</v>
      </c>
      <c r="Y327">
        <v>5</v>
      </c>
      <c r="Z327">
        <v>29</v>
      </c>
      <c r="AA327">
        <v>3</v>
      </c>
      <c r="AB327" t="s">
        <v>77</v>
      </c>
      <c r="AC327" t="s">
        <v>47</v>
      </c>
      <c r="AD327">
        <v>2025</v>
      </c>
    </row>
    <row r="328" spans="1:30" x14ac:dyDescent="0.45">
      <c r="A328" t="s">
        <v>742</v>
      </c>
      <c r="B328" t="s">
        <v>743</v>
      </c>
      <c r="C328" t="str">
        <f>_xlfn.XLOOKUP(Sales_Data[[#This Row],[Product_ID]],Product_Master[Product_ID],Product_Master[Product],"Not Found")</f>
        <v>French Doors</v>
      </c>
      <c r="D328" s="3">
        <v>45762</v>
      </c>
      <c r="E328" t="s">
        <v>59</v>
      </c>
      <c r="F328" t="s">
        <v>60</v>
      </c>
      <c r="G328" t="s">
        <v>111</v>
      </c>
      <c r="H328" t="s">
        <v>88</v>
      </c>
      <c r="I328" t="s">
        <v>84</v>
      </c>
      <c r="J328" t="s">
        <v>85</v>
      </c>
      <c r="K328" t="s">
        <v>43</v>
      </c>
      <c r="L328">
        <v>1</v>
      </c>
      <c r="M328">
        <v>39961</v>
      </c>
      <c r="N328">
        <v>0.05</v>
      </c>
      <c r="O328">
        <v>39961</v>
      </c>
      <c r="P328">
        <v>1998.05</v>
      </c>
      <c r="Q328">
        <v>37962.949999999997</v>
      </c>
      <c r="R328">
        <f>YEAR(Sales_Data[[#This Row],[Order_Date]])</f>
        <v>2025</v>
      </c>
      <c r="S328" t="str">
        <f>TEXT(Sales_Data[[#This Row],[Order_Date]],"mmmm")</f>
        <v>April</v>
      </c>
      <c r="T328">
        <f t="shared" si="5"/>
        <v>4</v>
      </c>
      <c r="U328" t="str">
        <f>"Q"&amp;ROUNDUP(MONTH(Sales_Data[[#This Row],[Order_Date]])/3,0)</f>
        <v>Q2</v>
      </c>
      <c r="V328" t="s">
        <v>122</v>
      </c>
      <c r="W328" t="s">
        <v>33</v>
      </c>
      <c r="X328" t="s">
        <v>45</v>
      </c>
      <c r="Y328">
        <v>3</v>
      </c>
      <c r="Z328">
        <v>6</v>
      </c>
      <c r="AA328">
        <v>5</v>
      </c>
      <c r="AB328" t="s">
        <v>77</v>
      </c>
      <c r="AC328" t="s">
        <v>47</v>
      </c>
      <c r="AD328">
        <v>2025</v>
      </c>
    </row>
    <row r="329" spans="1:30" x14ac:dyDescent="0.45">
      <c r="A329" t="s">
        <v>744</v>
      </c>
      <c r="B329" t="s">
        <v>745</v>
      </c>
      <c r="C329" t="str">
        <f>_xlfn.XLOOKUP(Sales_Data[[#This Row],[Product_ID]],Product_Master[Product_ID],Product_Master[Product],"Not Found")</f>
        <v>uPVC Windows</v>
      </c>
      <c r="D329" s="3">
        <v>45942</v>
      </c>
      <c r="E329" t="s">
        <v>59</v>
      </c>
      <c r="F329" t="s">
        <v>60</v>
      </c>
      <c r="G329" t="s">
        <v>139</v>
      </c>
      <c r="H329" t="s">
        <v>51</v>
      </c>
      <c r="I329" t="s">
        <v>62</v>
      </c>
      <c r="J329" t="s">
        <v>63</v>
      </c>
      <c r="K329" t="s">
        <v>31</v>
      </c>
      <c r="L329">
        <v>2</v>
      </c>
      <c r="M329">
        <v>19957</v>
      </c>
      <c r="N329">
        <v>0.15</v>
      </c>
      <c r="O329">
        <v>39914</v>
      </c>
      <c r="P329">
        <v>5987.1</v>
      </c>
      <c r="Q329">
        <v>33926.9</v>
      </c>
      <c r="R329">
        <f>YEAR(Sales_Data[[#This Row],[Order_Date]])</f>
        <v>2025</v>
      </c>
      <c r="S329" t="str">
        <f>TEXT(Sales_Data[[#This Row],[Order_Date]],"mmmm")</f>
        <v>October</v>
      </c>
      <c r="T329">
        <f t="shared" si="5"/>
        <v>10</v>
      </c>
      <c r="U329" t="str">
        <f>"Q"&amp;ROUNDUP(MONTH(Sales_Data[[#This Row],[Order_Date]])/3,0)</f>
        <v>Q4</v>
      </c>
      <c r="V329" t="s">
        <v>32</v>
      </c>
      <c r="W329" t="s">
        <v>54</v>
      </c>
      <c r="X329" t="s">
        <v>45</v>
      </c>
      <c r="Y329">
        <v>1</v>
      </c>
      <c r="Z329">
        <v>23</v>
      </c>
      <c r="AA329">
        <v>5</v>
      </c>
      <c r="AB329" t="s">
        <v>35</v>
      </c>
      <c r="AC329" t="s">
        <v>36</v>
      </c>
      <c r="AD329">
        <v>2025</v>
      </c>
    </row>
    <row r="330" spans="1:30" x14ac:dyDescent="0.45">
      <c r="A330" t="s">
        <v>746</v>
      </c>
      <c r="B330" t="s">
        <v>747</v>
      </c>
      <c r="C330" t="str">
        <f>_xlfn.XLOOKUP(Sales_Data[[#This Row],[Product_ID]],Product_Master[Product_ID],Product_Master[Product],"Not Found")</f>
        <v>Casement Windows</v>
      </c>
      <c r="D330" s="3">
        <v>45734</v>
      </c>
      <c r="E330" t="s">
        <v>25</v>
      </c>
      <c r="F330" t="s">
        <v>60</v>
      </c>
      <c r="G330" t="s">
        <v>82</v>
      </c>
      <c r="H330" t="s">
        <v>51</v>
      </c>
      <c r="I330" t="s">
        <v>75</v>
      </c>
      <c r="J330" t="s">
        <v>76</v>
      </c>
      <c r="K330" t="s">
        <v>31</v>
      </c>
      <c r="L330">
        <v>2</v>
      </c>
      <c r="M330">
        <v>27100</v>
      </c>
      <c r="N330">
        <v>0.05</v>
      </c>
      <c r="O330">
        <v>54200</v>
      </c>
      <c r="P330">
        <v>2710</v>
      </c>
      <c r="Q330">
        <v>51490</v>
      </c>
      <c r="R330">
        <f>YEAR(Sales_Data[[#This Row],[Order_Date]])</f>
        <v>2025</v>
      </c>
      <c r="S330" t="str">
        <f>TEXT(Sales_Data[[#This Row],[Order_Date]],"mmmm")</f>
        <v>March</v>
      </c>
      <c r="T330">
        <f t="shared" si="5"/>
        <v>3</v>
      </c>
      <c r="U330" t="str">
        <f>"Q"&amp;ROUNDUP(MONTH(Sales_Data[[#This Row],[Order_Date]])/3,0)</f>
        <v>Q1</v>
      </c>
      <c r="V330" t="s">
        <v>44</v>
      </c>
      <c r="W330" t="s">
        <v>33</v>
      </c>
      <c r="X330" t="s">
        <v>45</v>
      </c>
      <c r="Y330">
        <v>7</v>
      </c>
      <c r="Z330">
        <v>5</v>
      </c>
      <c r="AA330">
        <v>5</v>
      </c>
      <c r="AB330" t="s">
        <v>130</v>
      </c>
      <c r="AC330" t="s">
        <v>56</v>
      </c>
      <c r="AD330">
        <v>2025</v>
      </c>
    </row>
    <row r="331" spans="1:30" x14ac:dyDescent="0.45">
      <c r="A331" t="s">
        <v>748</v>
      </c>
      <c r="B331" t="s">
        <v>749</v>
      </c>
      <c r="C331" t="str">
        <f>_xlfn.XLOOKUP(Sales_Data[[#This Row],[Product_ID]],Product_Master[Product_ID],Product_Master[Product],"Not Found")</f>
        <v>Bi-Fold Doors</v>
      </c>
      <c r="D331" s="3">
        <v>45798</v>
      </c>
      <c r="E331" t="s">
        <v>25</v>
      </c>
      <c r="F331" t="s">
        <v>39</v>
      </c>
      <c r="G331" t="s">
        <v>61</v>
      </c>
      <c r="H331" t="s">
        <v>119</v>
      </c>
      <c r="I331" t="s">
        <v>41</v>
      </c>
      <c r="J331" t="s">
        <v>42</v>
      </c>
      <c r="K331" t="s">
        <v>43</v>
      </c>
      <c r="L331">
        <v>6</v>
      </c>
      <c r="M331">
        <v>61634</v>
      </c>
      <c r="N331">
        <v>0</v>
      </c>
      <c r="O331">
        <v>369804</v>
      </c>
      <c r="P331">
        <v>0</v>
      </c>
      <c r="Q331">
        <v>369804</v>
      </c>
      <c r="R331">
        <f>YEAR(Sales_Data[[#This Row],[Order_Date]])</f>
        <v>2025</v>
      </c>
      <c r="S331" t="str">
        <f>TEXT(Sales_Data[[#This Row],[Order_Date]],"mmmm")</f>
        <v>May</v>
      </c>
      <c r="T331">
        <f t="shared" si="5"/>
        <v>5</v>
      </c>
      <c r="U331" t="str">
        <f>"Q"&amp;ROUNDUP(MONTH(Sales_Data[[#This Row],[Order_Date]])/3,0)</f>
        <v>Q2</v>
      </c>
      <c r="V331" t="s">
        <v>32</v>
      </c>
      <c r="W331" t="s">
        <v>33</v>
      </c>
      <c r="X331" t="s">
        <v>66</v>
      </c>
      <c r="Y331">
        <v>6</v>
      </c>
      <c r="Z331">
        <v>20</v>
      </c>
      <c r="AA331">
        <v>4</v>
      </c>
      <c r="AB331" t="s">
        <v>72</v>
      </c>
      <c r="AC331" t="s">
        <v>47</v>
      </c>
      <c r="AD331">
        <v>2025</v>
      </c>
    </row>
    <row r="332" spans="1:30" x14ac:dyDescent="0.45">
      <c r="A332" t="s">
        <v>750</v>
      </c>
      <c r="B332" t="s">
        <v>751</v>
      </c>
      <c r="C332" t="str">
        <f>_xlfn.XLOOKUP(Sales_Data[[#This Row],[Product_ID]],Product_Master[Product_ID],Product_Master[Product],"Not Found")</f>
        <v>uPVC Windows</v>
      </c>
      <c r="D332" s="3">
        <v>45720</v>
      </c>
      <c r="E332" t="s">
        <v>59</v>
      </c>
      <c r="F332" t="s">
        <v>60</v>
      </c>
      <c r="G332" t="s">
        <v>40</v>
      </c>
      <c r="H332" t="s">
        <v>83</v>
      </c>
      <c r="I332" t="s">
        <v>62</v>
      </c>
      <c r="J332" t="s">
        <v>63</v>
      </c>
      <c r="K332" t="s">
        <v>31</v>
      </c>
      <c r="L332">
        <v>6</v>
      </c>
      <c r="M332">
        <v>20501</v>
      </c>
      <c r="N332">
        <v>0.1</v>
      </c>
      <c r="O332">
        <v>123006</v>
      </c>
      <c r="P332">
        <v>12300.6</v>
      </c>
      <c r="Q332">
        <v>110705.4</v>
      </c>
      <c r="R332">
        <f>YEAR(Sales_Data[[#This Row],[Order_Date]])</f>
        <v>2025</v>
      </c>
      <c r="S332" t="str">
        <f>TEXT(Sales_Data[[#This Row],[Order_Date]],"mmmm")</f>
        <v>March</v>
      </c>
      <c r="T332">
        <f t="shared" si="5"/>
        <v>3</v>
      </c>
      <c r="U332" t="str">
        <f>"Q"&amp;ROUNDUP(MONTH(Sales_Data[[#This Row],[Order_Date]])/3,0)</f>
        <v>Q1</v>
      </c>
      <c r="V332" t="s">
        <v>44</v>
      </c>
      <c r="W332" t="s">
        <v>33</v>
      </c>
      <c r="X332" t="s">
        <v>45</v>
      </c>
      <c r="Y332">
        <v>6</v>
      </c>
      <c r="Z332">
        <v>5</v>
      </c>
      <c r="AA332">
        <v>5</v>
      </c>
      <c r="AB332" t="s">
        <v>130</v>
      </c>
      <c r="AC332" t="s">
        <v>56</v>
      </c>
      <c r="AD332">
        <v>2025</v>
      </c>
    </row>
    <row r="333" spans="1:30" x14ac:dyDescent="0.45">
      <c r="A333" t="s">
        <v>752</v>
      </c>
      <c r="B333" t="s">
        <v>753</v>
      </c>
      <c r="C333" t="str">
        <f>_xlfn.XLOOKUP(Sales_Data[[#This Row],[Product_ID]],Product_Master[Product_ID],Product_Master[Product],"Not Found")</f>
        <v>Sliding Doors</v>
      </c>
      <c r="D333" s="3">
        <v>45723</v>
      </c>
      <c r="E333" t="s">
        <v>25</v>
      </c>
      <c r="F333" t="s">
        <v>39</v>
      </c>
      <c r="G333" t="s">
        <v>111</v>
      </c>
      <c r="H333" t="s">
        <v>71</v>
      </c>
      <c r="I333" t="s">
        <v>101</v>
      </c>
      <c r="J333" t="s">
        <v>102</v>
      </c>
      <c r="K333" t="s">
        <v>43</v>
      </c>
      <c r="L333">
        <v>6</v>
      </c>
      <c r="M333">
        <v>36195</v>
      </c>
      <c r="N333">
        <v>0.2</v>
      </c>
      <c r="O333">
        <v>217170</v>
      </c>
      <c r="P333">
        <v>43434</v>
      </c>
      <c r="Q333">
        <v>173736</v>
      </c>
      <c r="R333">
        <f>YEAR(Sales_Data[[#This Row],[Order_Date]])</f>
        <v>2025</v>
      </c>
      <c r="S333" t="str">
        <f>TEXT(Sales_Data[[#This Row],[Order_Date]],"mmmm")</f>
        <v>March</v>
      </c>
      <c r="T333">
        <f t="shared" si="5"/>
        <v>3</v>
      </c>
      <c r="U333" t="str">
        <f>"Q"&amp;ROUNDUP(MONTH(Sales_Data[[#This Row],[Order_Date]])/3,0)</f>
        <v>Q1</v>
      </c>
      <c r="V333" t="s">
        <v>32</v>
      </c>
      <c r="W333" t="s">
        <v>33</v>
      </c>
      <c r="X333" t="s">
        <v>45</v>
      </c>
      <c r="Y333">
        <v>6</v>
      </c>
      <c r="Z333">
        <v>20</v>
      </c>
      <c r="AA333">
        <v>5</v>
      </c>
      <c r="AB333" t="s">
        <v>130</v>
      </c>
      <c r="AC333" t="s">
        <v>56</v>
      </c>
      <c r="AD333">
        <v>2025</v>
      </c>
    </row>
    <row r="334" spans="1:30" x14ac:dyDescent="0.45">
      <c r="A334" t="s">
        <v>754</v>
      </c>
      <c r="B334" t="s">
        <v>755</v>
      </c>
      <c r="C334" t="str">
        <f>_xlfn.XLOOKUP(Sales_Data[[#This Row],[Product_ID]],Product_Master[Product_ID],Product_Master[Product],"Not Found")</f>
        <v>Sliding Doors</v>
      </c>
      <c r="D334" s="3">
        <v>45770</v>
      </c>
      <c r="E334" t="s">
        <v>59</v>
      </c>
      <c r="F334" t="s">
        <v>70</v>
      </c>
      <c r="G334" t="s">
        <v>40</v>
      </c>
      <c r="H334" t="s">
        <v>88</v>
      </c>
      <c r="I334" t="s">
        <v>101</v>
      </c>
      <c r="J334" t="s">
        <v>102</v>
      </c>
      <c r="K334" t="s">
        <v>43</v>
      </c>
      <c r="L334">
        <v>5</v>
      </c>
      <c r="M334">
        <v>38209</v>
      </c>
      <c r="N334">
        <v>0.05</v>
      </c>
      <c r="O334">
        <v>191045</v>
      </c>
      <c r="P334">
        <v>9552.25</v>
      </c>
      <c r="Q334">
        <v>181492.75</v>
      </c>
      <c r="R334">
        <f>YEAR(Sales_Data[[#This Row],[Order_Date]])</f>
        <v>2025</v>
      </c>
      <c r="S334" t="str">
        <f>TEXT(Sales_Data[[#This Row],[Order_Date]],"mmmm")</f>
        <v>April</v>
      </c>
      <c r="T334">
        <f t="shared" si="5"/>
        <v>4</v>
      </c>
      <c r="U334" t="str">
        <f>"Q"&amp;ROUNDUP(MONTH(Sales_Data[[#This Row],[Order_Date]])/3,0)</f>
        <v>Q2</v>
      </c>
      <c r="V334" t="s">
        <v>32</v>
      </c>
      <c r="W334" t="s">
        <v>33</v>
      </c>
      <c r="X334" t="s">
        <v>45</v>
      </c>
      <c r="Y334">
        <v>3</v>
      </c>
      <c r="Z334">
        <v>13</v>
      </c>
      <c r="AA334">
        <v>5</v>
      </c>
      <c r="AB334" t="s">
        <v>77</v>
      </c>
      <c r="AC334" t="s">
        <v>47</v>
      </c>
      <c r="AD334">
        <v>2025</v>
      </c>
    </row>
    <row r="335" spans="1:30" x14ac:dyDescent="0.45">
      <c r="A335" t="s">
        <v>756</v>
      </c>
      <c r="B335" t="s">
        <v>757</v>
      </c>
      <c r="C335" t="str">
        <f>_xlfn.XLOOKUP(Sales_Data[[#This Row],[Product_ID]],Product_Master[Product_ID],Product_Master[Product],"Not Found")</f>
        <v>Bi-Fold Doors</v>
      </c>
      <c r="D335" s="3">
        <v>45914</v>
      </c>
      <c r="E335" t="s">
        <v>25</v>
      </c>
      <c r="F335" t="s">
        <v>70</v>
      </c>
      <c r="G335" t="s">
        <v>50</v>
      </c>
      <c r="H335" t="s">
        <v>112</v>
      </c>
      <c r="I335" t="s">
        <v>41</v>
      </c>
      <c r="J335" t="s">
        <v>42</v>
      </c>
      <c r="K335" t="s">
        <v>43</v>
      </c>
      <c r="L335">
        <v>2</v>
      </c>
      <c r="M335">
        <v>62023</v>
      </c>
      <c r="N335">
        <v>0.2</v>
      </c>
      <c r="O335">
        <v>124046</v>
      </c>
      <c r="P335">
        <v>24809.200000000001</v>
      </c>
      <c r="Q335">
        <v>99236.800000000003</v>
      </c>
      <c r="R335">
        <f>YEAR(Sales_Data[[#This Row],[Order_Date]])</f>
        <v>2025</v>
      </c>
      <c r="S335" t="str">
        <f>TEXT(Sales_Data[[#This Row],[Order_Date]],"mmmm")</f>
        <v>September</v>
      </c>
      <c r="T335">
        <f t="shared" si="5"/>
        <v>9</v>
      </c>
      <c r="U335" t="str">
        <f>"Q"&amp;ROUNDUP(MONTH(Sales_Data[[#This Row],[Order_Date]])/3,0)</f>
        <v>Q3</v>
      </c>
      <c r="V335" t="s">
        <v>44</v>
      </c>
      <c r="W335" t="s">
        <v>33</v>
      </c>
      <c r="X335" t="s">
        <v>45</v>
      </c>
      <c r="Y335">
        <v>2</v>
      </c>
      <c r="Z335">
        <v>6</v>
      </c>
      <c r="AA335">
        <v>3</v>
      </c>
      <c r="AB335" t="s">
        <v>89</v>
      </c>
      <c r="AC335" t="s">
        <v>90</v>
      </c>
      <c r="AD335">
        <v>2025</v>
      </c>
    </row>
    <row r="336" spans="1:30" x14ac:dyDescent="0.45">
      <c r="A336" t="s">
        <v>758</v>
      </c>
      <c r="B336" t="s">
        <v>759</v>
      </c>
      <c r="C336" t="str">
        <f>_xlfn.XLOOKUP(Sales_Data[[#This Row],[Product_ID]],Product_Master[Product_ID],Product_Master[Product],"Not Found")</f>
        <v>Sliding Doors</v>
      </c>
      <c r="D336" s="3">
        <v>45872</v>
      </c>
      <c r="E336" t="s">
        <v>25</v>
      </c>
      <c r="F336" t="s">
        <v>70</v>
      </c>
      <c r="G336" t="s">
        <v>82</v>
      </c>
      <c r="H336" t="s">
        <v>51</v>
      </c>
      <c r="I336" t="s">
        <v>101</v>
      </c>
      <c r="J336" t="s">
        <v>102</v>
      </c>
      <c r="K336" t="s">
        <v>43</v>
      </c>
      <c r="L336">
        <v>1</v>
      </c>
      <c r="M336">
        <v>31617</v>
      </c>
      <c r="N336">
        <v>0</v>
      </c>
      <c r="O336">
        <v>31617</v>
      </c>
      <c r="P336">
        <v>0</v>
      </c>
      <c r="Q336">
        <v>31617</v>
      </c>
      <c r="R336">
        <f>YEAR(Sales_Data[[#This Row],[Order_Date]])</f>
        <v>2025</v>
      </c>
      <c r="S336" t="str">
        <f>TEXT(Sales_Data[[#This Row],[Order_Date]],"mmmm")</f>
        <v>August</v>
      </c>
      <c r="T336">
        <f t="shared" si="5"/>
        <v>8</v>
      </c>
      <c r="U336" t="str">
        <f>"Q"&amp;ROUNDUP(MONTH(Sales_Data[[#This Row],[Order_Date]])/3,0)</f>
        <v>Q3</v>
      </c>
      <c r="V336" t="s">
        <v>98</v>
      </c>
      <c r="W336" t="s">
        <v>33</v>
      </c>
      <c r="X336" t="s">
        <v>66</v>
      </c>
      <c r="Y336">
        <v>1</v>
      </c>
      <c r="Z336">
        <v>21</v>
      </c>
      <c r="AA336">
        <v>4</v>
      </c>
      <c r="AB336" t="s">
        <v>123</v>
      </c>
      <c r="AC336" t="s">
        <v>90</v>
      </c>
      <c r="AD336">
        <v>2025</v>
      </c>
    </row>
    <row r="337" spans="1:30" x14ac:dyDescent="0.45">
      <c r="A337" t="s">
        <v>760</v>
      </c>
      <c r="B337" t="s">
        <v>761</v>
      </c>
      <c r="C337" t="str">
        <f>_xlfn.XLOOKUP(Sales_Data[[#This Row],[Product_ID]],Product_Master[Product_ID],Product_Master[Product],"Not Found")</f>
        <v>French Doors</v>
      </c>
      <c r="D337" s="3">
        <v>45722</v>
      </c>
      <c r="E337" t="s">
        <v>59</v>
      </c>
      <c r="F337" t="s">
        <v>60</v>
      </c>
      <c r="G337" t="s">
        <v>82</v>
      </c>
      <c r="H337" t="s">
        <v>51</v>
      </c>
      <c r="I337" t="s">
        <v>84</v>
      </c>
      <c r="J337" t="s">
        <v>85</v>
      </c>
      <c r="K337" t="s">
        <v>43</v>
      </c>
      <c r="L337">
        <v>1</v>
      </c>
      <c r="M337">
        <v>38253</v>
      </c>
      <c r="N337">
        <v>0.05</v>
      </c>
      <c r="O337">
        <v>38253</v>
      </c>
      <c r="P337">
        <v>1912.65</v>
      </c>
      <c r="Q337">
        <v>36340.35</v>
      </c>
      <c r="R337">
        <f>YEAR(Sales_Data[[#This Row],[Order_Date]])</f>
        <v>2025</v>
      </c>
      <c r="S337" t="str">
        <f>TEXT(Sales_Data[[#This Row],[Order_Date]],"mmmm")</f>
        <v>March</v>
      </c>
      <c r="T337">
        <f t="shared" si="5"/>
        <v>3</v>
      </c>
      <c r="U337" t="str">
        <f>"Q"&amp;ROUNDUP(MONTH(Sales_Data[[#This Row],[Order_Date]])/3,0)</f>
        <v>Q1</v>
      </c>
      <c r="V337" t="s">
        <v>44</v>
      </c>
      <c r="W337" t="s">
        <v>33</v>
      </c>
      <c r="X337" t="s">
        <v>93</v>
      </c>
      <c r="Y337">
        <v>4</v>
      </c>
      <c r="Z337">
        <v>25</v>
      </c>
      <c r="AA337">
        <v>5</v>
      </c>
      <c r="AB337" t="s">
        <v>130</v>
      </c>
      <c r="AC337" t="s">
        <v>56</v>
      </c>
      <c r="AD337">
        <v>2025</v>
      </c>
    </row>
    <row r="338" spans="1:30" x14ac:dyDescent="0.45">
      <c r="A338" t="s">
        <v>762</v>
      </c>
      <c r="B338" t="s">
        <v>763</v>
      </c>
      <c r="C338" t="str">
        <f>_xlfn.XLOOKUP(Sales_Data[[#This Row],[Product_ID]],Product_Master[Product_ID],Product_Master[Product],"Not Found")</f>
        <v>uPVC Doors</v>
      </c>
      <c r="D338" s="3">
        <v>45987</v>
      </c>
      <c r="E338" t="s">
        <v>25</v>
      </c>
      <c r="F338" t="s">
        <v>39</v>
      </c>
      <c r="G338" t="s">
        <v>111</v>
      </c>
      <c r="H338" t="s">
        <v>51</v>
      </c>
      <c r="I338" t="s">
        <v>107</v>
      </c>
      <c r="J338" t="s">
        <v>108</v>
      </c>
      <c r="K338" t="s">
        <v>43</v>
      </c>
      <c r="L338">
        <v>6</v>
      </c>
      <c r="M338">
        <v>28962</v>
      </c>
      <c r="N338">
        <v>0</v>
      </c>
      <c r="O338">
        <v>173772</v>
      </c>
      <c r="P338">
        <v>0</v>
      </c>
      <c r="Q338">
        <v>173772</v>
      </c>
      <c r="R338">
        <f>YEAR(Sales_Data[[#This Row],[Order_Date]])</f>
        <v>2025</v>
      </c>
      <c r="S338" t="str">
        <f>TEXT(Sales_Data[[#This Row],[Order_Date]],"mmmm")</f>
        <v>November</v>
      </c>
      <c r="T338">
        <f t="shared" si="5"/>
        <v>11</v>
      </c>
      <c r="U338" t="str">
        <f>"Q"&amp;ROUNDUP(MONTH(Sales_Data[[#This Row],[Order_Date]])/3,0)</f>
        <v>Q4</v>
      </c>
      <c r="V338" t="s">
        <v>98</v>
      </c>
      <c r="W338" t="s">
        <v>33</v>
      </c>
      <c r="X338" t="s">
        <v>34</v>
      </c>
      <c r="Y338">
        <v>7</v>
      </c>
      <c r="Z338">
        <v>7</v>
      </c>
      <c r="AA338">
        <v>4</v>
      </c>
      <c r="AB338" t="s">
        <v>67</v>
      </c>
      <c r="AC338" t="s">
        <v>36</v>
      </c>
      <c r="AD338">
        <v>2025</v>
      </c>
    </row>
    <row r="339" spans="1:30" x14ac:dyDescent="0.45">
      <c r="A339" t="s">
        <v>764</v>
      </c>
      <c r="B339" t="s">
        <v>765</v>
      </c>
      <c r="C339" t="str">
        <f>_xlfn.XLOOKUP(Sales_Data[[#This Row],[Product_ID]],Product_Master[Product_ID],Product_Master[Product],"Not Found")</f>
        <v>uPVC Doors</v>
      </c>
      <c r="D339" s="3">
        <v>45870</v>
      </c>
      <c r="E339" t="s">
        <v>59</v>
      </c>
      <c r="F339" t="s">
        <v>39</v>
      </c>
      <c r="G339" t="s">
        <v>139</v>
      </c>
      <c r="H339" t="s">
        <v>51</v>
      </c>
      <c r="I339" t="s">
        <v>107</v>
      </c>
      <c r="J339" t="s">
        <v>108</v>
      </c>
      <c r="K339" t="s">
        <v>43</v>
      </c>
      <c r="L339">
        <v>4</v>
      </c>
      <c r="M339">
        <v>32907</v>
      </c>
      <c r="N339">
        <v>0.05</v>
      </c>
      <c r="O339">
        <v>131628</v>
      </c>
      <c r="P339">
        <v>6581.4</v>
      </c>
      <c r="Q339">
        <v>125046.6</v>
      </c>
      <c r="R339">
        <f>YEAR(Sales_Data[[#This Row],[Order_Date]])</f>
        <v>2025</v>
      </c>
      <c r="S339" t="str">
        <f>TEXT(Sales_Data[[#This Row],[Order_Date]],"mmmm")</f>
        <v>August</v>
      </c>
      <c r="T339">
        <f t="shared" si="5"/>
        <v>8</v>
      </c>
      <c r="U339" t="str">
        <f>"Q"&amp;ROUNDUP(MONTH(Sales_Data[[#This Row],[Order_Date]])/3,0)</f>
        <v>Q3</v>
      </c>
      <c r="V339" t="s">
        <v>64</v>
      </c>
      <c r="W339" t="s">
        <v>33</v>
      </c>
      <c r="X339" t="s">
        <v>66</v>
      </c>
      <c r="Y339">
        <v>4</v>
      </c>
      <c r="Z339">
        <v>26</v>
      </c>
      <c r="AA339">
        <v>5</v>
      </c>
      <c r="AB339" t="s">
        <v>123</v>
      </c>
      <c r="AC339" t="s">
        <v>90</v>
      </c>
      <c r="AD339">
        <v>2025</v>
      </c>
    </row>
    <row r="340" spans="1:30" x14ac:dyDescent="0.45">
      <c r="A340" t="s">
        <v>766</v>
      </c>
      <c r="B340" t="s">
        <v>767</v>
      </c>
      <c r="C340" t="str">
        <f>_xlfn.XLOOKUP(Sales_Data[[#This Row],[Product_ID]],Product_Master[Product_ID],Product_Master[Product],"Not Found")</f>
        <v>Aluminium Windows</v>
      </c>
      <c r="D340" s="3">
        <v>45875</v>
      </c>
      <c r="E340" t="s">
        <v>59</v>
      </c>
      <c r="F340" t="s">
        <v>60</v>
      </c>
      <c r="G340" t="s">
        <v>111</v>
      </c>
      <c r="H340" t="s">
        <v>119</v>
      </c>
      <c r="I340" t="s">
        <v>52</v>
      </c>
      <c r="J340" t="s">
        <v>53</v>
      </c>
      <c r="K340" t="s">
        <v>31</v>
      </c>
      <c r="L340">
        <v>6</v>
      </c>
      <c r="M340">
        <v>24011</v>
      </c>
      <c r="N340">
        <v>0</v>
      </c>
      <c r="O340">
        <v>144066</v>
      </c>
      <c r="P340">
        <v>0</v>
      </c>
      <c r="Q340">
        <v>144066</v>
      </c>
      <c r="R340">
        <f>YEAR(Sales_Data[[#This Row],[Order_Date]])</f>
        <v>2025</v>
      </c>
      <c r="S340" t="str">
        <f>TEXT(Sales_Data[[#This Row],[Order_Date]],"mmmm")</f>
        <v>August</v>
      </c>
      <c r="T340">
        <f t="shared" si="5"/>
        <v>8</v>
      </c>
      <c r="U340" t="str">
        <f>"Q"&amp;ROUNDUP(MONTH(Sales_Data[[#This Row],[Order_Date]])/3,0)</f>
        <v>Q3</v>
      </c>
      <c r="V340" t="s">
        <v>64</v>
      </c>
      <c r="W340" t="s">
        <v>54</v>
      </c>
      <c r="X340" t="s">
        <v>34</v>
      </c>
      <c r="Y340">
        <v>6</v>
      </c>
      <c r="Z340">
        <v>11</v>
      </c>
      <c r="AA340">
        <v>5</v>
      </c>
      <c r="AB340" t="s">
        <v>123</v>
      </c>
      <c r="AC340" t="s">
        <v>90</v>
      </c>
      <c r="AD340">
        <v>2025</v>
      </c>
    </row>
    <row r="341" spans="1:30" x14ac:dyDescent="0.45">
      <c r="A341" t="s">
        <v>768</v>
      </c>
      <c r="B341" t="s">
        <v>769</v>
      </c>
      <c r="C341" t="str">
        <f>_xlfn.XLOOKUP(Sales_Data[[#This Row],[Product_ID]],Product_Master[Product_ID],Product_Master[Product],"Not Found")</f>
        <v>Bi-Fold Doors</v>
      </c>
      <c r="D341" s="3">
        <v>45891</v>
      </c>
      <c r="E341" t="s">
        <v>59</v>
      </c>
      <c r="F341" t="s">
        <v>39</v>
      </c>
      <c r="G341" t="s">
        <v>82</v>
      </c>
      <c r="H341" t="s">
        <v>51</v>
      </c>
      <c r="I341" t="s">
        <v>41</v>
      </c>
      <c r="J341" t="s">
        <v>42</v>
      </c>
      <c r="K341" t="s">
        <v>43</v>
      </c>
      <c r="L341">
        <v>3</v>
      </c>
      <c r="M341">
        <v>61419</v>
      </c>
      <c r="N341">
        <v>0.1</v>
      </c>
      <c r="O341">
        <v>184257</v>
      </c>
      <c r="P341">
        <v>18425.7</v>
      </c>
      <c r="Q341">
        <v>165831.29999999999</v>
      </c>
      <c r="R341">
        <f>YEAR(Sales_Data[[#This Row],[Order_Date]])</f>
        <v>2025</v>
      </c>
      <c r="S341" t="str">
        <f>TEXT(Sales_Data[[#This Row],[Order_Date]],"mmmm")</f>
        <v>August</v>
      </c>
      <c r="T341">
        <f t="shared" si="5"/>
        <v>8</v>
      </c>
      <c r="U341" t="str">
        <f>"Q"&amp;ROUNDUP(MONTH(Sales_Data[[#This Row],[Order_Date]])/3,0)</f>
        <v>Q3</v>
      </c>
      <c r="V341" t="s">
        <v>122</v>
      </c>
      <c r="W341" t="s">
        <v>33</v>
      </c>
      <c r="X341" t="s">
        <v>66</v>
      </c>
      <c r="Y341">
        <v>4</v>
      </c>
      <c r="Z341">
        <v>6</v>
      </c>
      <c r="AA341">
        <v>5</v>
      </c>
      <c r="AB341" t="s">
        <v>123</v>
      </c>
      <c r="AC341" t="s">
        <v>90</v>
      </c>
      <c r="AD341">
        <v>2025</v>
      </c>
    </row>
    <row r="342" spans="1:30" x14ac:dyDescent="0.45">
      <c r="A342" t="s">
        <v>770</v>
      </c>
      <c r="B342" t="s">
        <v>771</v>
      </c>
      <c r="C342" t="str">
        <f>_xlfn.XLOOKUP(Sales_Data[[#This Row],[Product_ID]],Product_Master[Product_ID],Product_Master[Product],"Not Found")</f>
        <v>Bi-Fold Doors</v>
      </c>
      <c r="D342" s="3">
        <v>45928</v>
      </c>
      <c r="E342" t="s">
        <v>25</v>
      </c>
      <c r="F342" t="s">
        <v>60</v>
      </c>
      <c r="G342" t="s">
        <v>111</v>
      </c>
      <c r="H342" t="s">
        <v>51</v>
      </c>
      <c r="I342" t="s">
        <v>41</v>
      </c>
      <c r="J342" t="s">
        <v>42</v>
      </c>
      <c r="K342" t="s">
        <v>43</v>
      </c>
      <c r="L342">
        <v>6</v>
      </c>
      <c r="M342">
        <v>53823</v>
      </c>
      <c r="N342">
        <v>0.1</v>
      </c>
      <c r="O342">
        <v>322938</v>
      </c>
      <c r="P342">
        <v>32293.8</v>
      </c>
      <c r="Q342">
        <v>290644.2</v>
      </c>
      <c r="R342">
        <f>YEAR(Sales_Data[[#This Row],[Order_Date]])</f>
        <v>2025</v>
      </c>
      <c r="S342" t="str">
        <f>TEXT(Sales_Data[[#This Row],[Order_Date]],"mmmm")</f>
        <v>September</v>
      </c>
      <c r="T342">
        <f t="shared" si="5"/>
        <v>9</v>
      </c>
      <c r="U342" t="str">
        <f>"Q"&amp;ROUNDUP(MONTH(Sales_Data[[#This Row],[Order_Date]])/3,0)</f>
        <v>Q3</v>
      </c>
      <c r="V342" t="s">
        <v>44</v>
      </c>
      <c r="W342" t="s">
        <v>65</v>
      </c>
      <c r="X342" t="s">
        <v>34</v>
      </c>
      <c r="Y342">
        <v>3</v>
      </c>
      <c r="Z342">
        <v>25</v>
      </c>
      <c r="AA342">
        <v>5</v>
      </c>
      <c r="AB342" t="s">
        <v>89</v>
      </c>
      <c r="AC342" t="s">
        <v>90</v>
      </c>
      <c r="AD342">
        <v>2025</v>
      </c>
    </row>
    <row r="343" spans="1:30" x14ac:dyDescent="0.45">
      <c r="A343" t="s">
        <v>772</v>
      </c>
      <c r="B343" t="s">
        <v>773</v>
      </c>
      <c r="C343" t="str">
        <f>_xlfn.XLOOKUP(Sales_Data[[#This Row],[Product_ID]],Product_Master[Product_ID],Product_Master[Product],"Not Found")</f>
        <v>Sliding Doors</v>
      </c>
      <c r="D343" s="3">
        <v>45713</v>
      </c>
      <c r="E343" t="s">
        <v>59</v>
      </c>
      <c r="F343" t="s">
        <v>39</v>
      </c>
      <c r="G343" t="s">
        <v>40</v>
      </c>
      <c r="H343" t="s">
        <v>112</v>
      </c>
      <c r="I343" t="s">
        <v>101</v>
      </c>
      <c r="J343" t="s">
        <v>102</v>
      </c>
      <c r="K343" t="s">
        <v>43</v>
      </c>
      <c r="L343">
        <v>2</v>
      </c>
      <c r="M343">
        <v>39156</v>
      </c>
      <c r="N343">
        <v>0</v>
      </c>
      <c r="O343">
        <v>78312</v>
      </c>
      <c r="P343">
        <v>0</v>
      </c>
      <c r="Q343">
        <v>78312</v>
      </c>
      <c r="R343">
        <f>YEAR(Sales_Data[[#This Row],[Order_Date]])</f>
        <v>2025</v>
      </c>
      <c r="S343" t="str">
        <f>TEXT(Sales_Data[[#This Row],[Order_Date]],"mmmm")</f>
        <v>February</v>
      </c>
      <c r="T343">
        <f t="shared" si="5"/>
        <v>2</v>
      </c>
      <c r="U343" t="str">
        <f>"Q"&amp;ROUNDUP(MONTH(Sales_Data[[#This Row],[Order_Date]])/3,0)</f>
        <v>Q1</v>
      </c>
      <c r="V343" t="s">
        <v>44</v>
      </c>
      <c r="W343" t="s">
        <v>33</v>
      </c>
      <c r="X343" t="s">
        <v>66</v>
      </c>
      <c r="Y343">
        <v>4</v>
      </c>
      <c r="Z343">
        <v>30</v>
      </c>
      <c r="AA343">
        <v>5</v>
      </c>
      <c r="AB343" t="s">
        <v>55</v>
      </c>
      <c r="AC343" t="s">
        <v>56</v>
      </c>
      <c r="AD343">
        <v>2025</v>
      </c>
    </row>
    <row r="344" spans="1:30" x14ac:dyDescent="0.45">
      <c r="A344" t="s">
        <v>774</v>
      </c>
      <c r="B344" t="s">
        <v>775</v>
      </c>
      <c r="C344" t="str">
        <f>_xlfn.XLOOKUP(Sales_Data[[#This Row],[Product_ID]],Product_Master[Product_ID],Product_Master[Product],"Not Found")</f>
        <v>Sliding Doors</v>
      </c>
      <c r="D344" s="3">
        <v>46022</v>
      </c>
      <c r="E344" t="s">
        <v>59</v>
      </c>
      <c r="F344" t="s">
        <v>26</v>
      </c>
      <c r="G344" t="s">
        <v>50</v>
      </c>
      <c r="H344" t="s">
        <v>71</v>
      </c>
      <c r="I344" t="s">
        <v>101</v>
      </c>
      <c r="J344" t="s">
        <v>102</v>
      </c>
      <c r="K344" t="s">
        <v>43</v>
      </c>
      <c r="L344">
        <v>2</v>
      </c>
      <c r="M344">
        <v>39331</v>
      </c>
      <c r="N344">
        <v>0.2</v>
      </c>
      <c r="O344">
        <v>78662</v>
      </c>
      <c r="P344">
        <v>15732.4</v>
      </c>
      <c r="Q344">
        <v>62929.599999999999</v>
      </c>
      <c r="R344">
        <f>YEAR(Sales_Data[[#This Row],[Order_Date]])</f>
        <v>2025</v>
      </c>
      <c r="S344" t="str">
        <f>TEXT(Sales_Data[[#This Row],[Order_Date]],"mmmm")</f>
        <v>December</v>
      </c>
      <c r="T344">
        <f t="shared" si="5"/>
        <v>12</v>
      </c>
      <c r="U344" t="str">
        <f>"Q"&amp;ROUNDUP(MONTH(Sales_Data[[#This Row],[Order_Date]])/3,0)</f>
        <v>Q4</v>
      </c>
      <c r="V344" t="s">
        <v>122</v>
      </c>
      <c r="W344" t="s">
        <v>33</v>
      </c>
      <c r="X344" t="s">
        <v>45</v>
      </c>
      <c r="Y344">
        <v>5</v>
      </c>
      <c r="Z344">
        <v>11</v>
      </c>
      <c r="AA344">
        <v>2</v>
      </c>
      <c r="AB344" t="s">
        <v>113</v>
      </c>
      <c r="AC344" t="s">
        <v>36</v>
      </c>
      <c r="AD344">
        <v>2025</v>
      </c>
    </row>
    <row r="345" spans="1:30" x14ac:dyDescent="0.45">
      <c r="A345" t="s">
        <v>776</v>
      </c>
      <c r="B345" t="s">
        <v>777</v>
      </c>
      <c r="C345" t="str">
        <f>_xlfn.XLOOKUP(Sales_Data[[#This Row],[Product_ID]],Product_Master[Product_ID],Product_Master[Product],"Not Found")</f>
        <v>uPVC Windows</v>
      </c>
      <c r="D345" s="3">
        <v>45844</v>
      </c>
      <c r="E345" t="s">
        <v>59</v>
      </c>
      <c r="F345" t="s">
        <v>60</v>
      </c>
      <c r="G345" t="s">
        <v>111</v>
      </c>
      <c r="H345" t="s">
        <v>71</v>
      </c>
      <c r="I345" t="s">
        <v>62</v>
      </c>
      <c r="J345" t="s">
        <v>63</v>
      </c>
      <c r="K345" t="s">
        <v>31</v>
      </c>
      <c r="L345">
        <v>4</v>
      </c>
      <c r="M345">
        <v>18330</v>
      </c>
      <c r="N345">
        <v>0.1</v>
      </c>
      <c r="O345">
        <v>73320</v>
      </c>
      <c r="P345">
        <v>7332</v>
      </c>
      <c r="Q345">
        <v>65988</v>
      </c>
      <c r="R345">
        <f>YEAR(Sales_Data[[#This Row],[Order_Date]])</f>
        <v>2025</v>
      </c>
      <c r="S345" t="str">
        <f>TEXT(Sales_Data[[#This Row],[Order_Date]],"mmmm")</f>
        <v>July</v>
      </c>
      <c r="T345">
        <f t="shared" si="5"/>
        <v>7</v>
      </c>
      <c r="U345" t="str">
        <f>"Q"&amp;ROUNDUP(MONTH(Sales_Data[[#This Row],[Order_Date]])/3,0)</f>
        <v>Q3</v>
      </c>
      <c r="V345" t="s">
        <v>32</v>
      </c>
      <c r="W345" t="s">
        <v>54</v>
      </c>
      <c r="X345" t="s">
        <v>66</v>
      </c>
      <c r="Y345">
        <v>7</v>
      </c>
      <c r="Z345">
        <v>8</v>
      </c>
      <c r="AA345">
        <v>4</v>
      </c>
      <c r="AB345" t="s">
        <v>155</v>
      </c>
      <c r="AC345" t="s">
        <v>90</v>
      </c>
      <c r="AD345">
        <v>2025</v>
      </c>
    </row>
    <row r="346" spans="1:30" x14ac:dyDescent="0.45">
      <c r="A346" t="s">
        <v>778</v>
      </c>
      <c r="B346" t="s">
        <v>779</v>
      </c>
      <c r="C346" t="str">
        <f>_xlfn.XLOOKUP(Sales_Data[[#This Row],[Product_ID]],Product_Master[Product_ID],Product_Master[Product],"Not Found")</f>
        <v>Sliding Doors</v>
      </c>
      <c r="D346" s="3">
        <v>45822</v>
      </c>
      <c r="E346" t="s">
        <v>59</v>
      </c>
      <c r="F346" t="s">
        <v>26</v>
      </c>
      <c r="G346" t="s">
        <v>116</v>
      </c>
      <c r="H346" t="s">
        <v>83</v>
      </c>
      <c r="I346" t="s">
        <v>101</v>
      </c>
      <c r="J346" t="s">
        <v>102</v>
      </c>
      <c r="K346" t="s">
        <v>43</v>
      </c>
      <c r="L346">
        <v>6</v>
      </c>
      <c r="M346">
        <v>31990</v>
      </c>
      <c r="N346">
        <v>0.1</v>
      </c>
      <c r="O346">
        <v>191940</v>
      </c>
      <c r="P346">
        <v>19194</v>
      </c>
      <c r="Q346">
        <v>172746</v>
      </c>
      <c r="R346">
        <f>YEAR(Sales_Data[[#This Row],[Order_Date]])</f>
        <v>2025</v>
      </c>
      <c r="S346" t="str">
        <f>TEXT(Sales_Data[[#This Row],[Order_Date]],"mmmm")</f>
        <v>June</v>
      </c>
      <c r="T346">
        <f t="shared" si="5"/>
        <v>6</v>
      </c>
      <c r="U346" t="str">
        <f>"Q"&amp;ROUNDUP(MONTH(Sales_Data[[#This Row],[Order_Date]])/3,0)</f>
        <v>Q2</v>
      </c>
      <c r="V346" t="s">
        <v>98</v>
      </c>
      <c r="W346" t="s">
        <v>54</v>
      </c>
      <c r="X346" t="s">
        <v>45</v>
      </c>
      <c r="Y346">
        <v>6</v>
      </c>
      <c r="Z346">
        <v>15</v>
      </c>
      <c r="AA346">
        <v>4</v>
      </c>
      <c r="AB346" t="s">
        <v>46</v>
      </c>
      <c r="AC346" t="s">
        <v>47</v>
      </c>
      <c r="AD346">
        <v>2025</v>
      </c>
    </row>
    <row r="347" spans="1:30" x14ac:dyDescent="0.45">
      <c r="A347" t="s">
        <v>780</v>
      </c>
      <c r="B347" t="s">
        <v>781</v>
      </c>
      <c r="C347" t="str">
        <f>_xlfn.XLOOKUP(Sales_Data[[#This Row],[Product_ID]],Product_Master[Product_ID],Product_Master[Product],"Not Found")</f>
        <v>Casement Windows</v>
      </c>
      <c r="D347" s="3">
        <v>45832</v>
      </c>
      <c r="E347" t="s">
        <v>59</v>
      </c>
      <c r="F347" t="s">
        <v>26</v>
      </c>
      <c r="G347" t="s">
        <v>82</v>
      </c>
      <c r="H347" t="s">
        <v>51</v>
      </c>
      <c r="I347" t="s">
        <v>75</v>
      </c>
      <c r="J347" t="s">
        <v>76</v>
      </c>
      <c r="K347" t="s">
        <v>31</v>
      </c>
      <c r="L347">
        <v>3</v>
      </c>
      <c r="M347">
        <v>25910</v>
      </c>
      <c r="N347">
        <v>0.1</v>
      </c>
      <c r="O347">
        <v>77730</v>
      </c>
      <c r="P347">
        <v>7773</v>
      </c>
      <c r="Q347">
        <v>69957</v>
      </c>
      <c r="R347">
        <f>YEAR(Sales_Data[[#This Row],[Order_Date]])</f>
        <v>2025</v>
      </c>
      <c r="S347" t="str">
        <f>TEXT(Sales_Data[[#This Row],[Order_Date]],"mmmm")</f>
        <v>June</v>
      </c>
      <c r="T347">
        <f t="shared" si="5"/>
        <v>6</v>
      </c>
      <c r="U347" t="str">
        <f>"Q"&amp;ROUNDUP(MONTH(Sales_Data[[#This Row],[Order_Date]])/3,0)</f>
        <v>Q2</v>
      </c>
      <c r="V347" t="s">
        <v>122</v>
      </c>
      <c r="W347" t="s">
        <v>65</v>
      </c>
      <c r="X347" t="s">
        <v>45</v>
      </c>
      <c r="Y347">
        <v>2</v>
      </c>
      <c r="Z347">
        <v>22</v>
      </c>
      <c r="AA347">
        <v>5</v>
      </c>
      <c r="AB347" t="s">
        <v>46</v>
      </c>
      <c r="AC347" t="s">
        <v>47</v>
      </c>
      <c r="AD347">
        <v>2025</v>
      </c>
    </row>
    <row r="348" spans="1:30" x14ac:dyDescent="0.45">
      <c r="A348" t="s">
        <v>782</v>
      </c>
      <c r="B348" t="s">
        <v>783</v>
      </c>
      <c r="C348" t="str">
        <f>_xlfn.XLOOKUP(Sales_Data[[#This Row],[Product_ID]],Product_Master[Product_ID],Product_Master[Product],"Not Found")</f>
        <v>Casement Windows</v>
      </c>
      <c r="D348" s="3">
        <v>45717</v>
      </c>
      <c r="E348" t="s">
        <v>25</v>
      </c>
      <c r="F348" t="s">
        <v>39</v>
      </c>
      <c r="G348" t="s">
        <v>111</v>
      </c>
      <c r="H348" t="s">
        <v>28</v>
      </c>
      <c r="I348" t="s">
        <v>75</v>
      </c>
      <c r="J348" t="s">
        <v>76</v>
      </c>
      <c r="K348" t="s">
        <v>31</v>
      </c>
      <c r="L348">
        <v>5</v>
      </c>
      <c r="M348">
        <v>28329</v>
      </c>
      <c r="N348">
        <v>0.1</v>
      </c>
      <c r="O348">
        <v>141645</v>
      </c>
      <c r="P348">
        <v>14164.5</v>
      </c>
      <c r="Q348">
        <v>127480.5</v>
      </c>
      <c r="R348">
        <f>YEAR(Sales_Data[[#This Row],[Order_Date]])</f>
        <v>2025</v>
      </c>
      <c r="S348" t="str">
        <f>TEXT(Sales_Data[[#This Row],[Order_Date]],"mmmm")</f>
        <v>March</v>
      </c>
      <c r="T348">
        <f t="shared" si="5"/>
        <v>3</v>
      </c>
      <c r="U348" t="str">
        <f>"Q"&amp;ROUNDUP(MONTH(Sales_Data[[#This Row],[Order_Date]])/3,0)</f>
        <v>Q1</v>
      </c>
      <c r="V348" t="s">
        <v>32</v>
      </c>
      <c r="W348" t="s">
        <v>65</v>
      </c>
      <c r="X348" t="s">
        <v>45</v>
      </c>
      <c r="Y348">
        <v>6</v>
      </c>
      <c r="Z348">
        <v>29</v>
      </c>
      <c r="AA348">
        <v>4</v>
      </c>
      <c r="AB348" t="s">
        <v>130</v>
      </c>
      <c r="AC348" t="s">
        <v>56</v>
      </c>
      <c r="AD348">
        <v>2025</v>
      </c>
    </row>
    <row r="349" spans="1:30" x14ac:dyDescent="0.45">
      <c r="A349" t="s">
        <v>784</v>
      </c>
      <c r="B349" t="s">
        <v>785</v>
      </c>
      <c r="C349" t="str">
        <f>_xlfn.XLOOKUP(Sales_Data[[#This Row],[Product_ID]],Product_Master[Product_ID],Product_Master[Product],"Not Found")</f>
        <v>Soundproof Windows</v>
      </c>
      <c r="D349" s="3">
        <v>45713</v>
      </c>
      <c r="E349" t="s">
        <v>25</v>
      </c>
      <c r="F349" t="s">
        <v>39</v>
      </c>
      <c r="G349" t="s">
        <v>116</v>
      </c>
      <c r="H349" t="s">
        <v>71</v>
      </c>
      <c r="I349" t="s">
        <v>29</v>
      </c>
      <c r="J349" t="s">
        <v>30</v>
      </c>
      <c r="K349" t="s">
        <v>31</v>
      </c>
      <c r="L349">
        <v>1</v>
      </c>
      <c r="M349">
        <v>47292</v>
      </c>
      <c r="N349">
        <v>0.2</v>
      </c>
      <c r="O349">
        <v>47292</v>
      </c>
      <c r="P349">
        <v>9458.4</v>
      </c>
      <c r="Q349">
        <v>37833.599999999999</v>
      </c>
      <c r="R349">
        <f>YEAR(Sales_Data[[#This Row],[Order_Date]])</f>
        <v>2025</v>
      </c>
      <c r="S349" t="str">
        <f>TEXT(Sales_Data[[#This Row],[Order_Date]],"mmmm")</f>
        <v>February</v>
      </c>
      <c r="T349">
        <f t="shared" si="5"/>
        <v>2</v>
      </c>
      <c r="U349" t="str">
        <f>"Q"&amp;ROUNDUP(MONTH(Sales_Data[[#This Row],[Order_Date]])/3,0)</f>
        <v>Q1</v>
      </c>
      <c r="V349" t="s">
        <v>44</v>
      </c>
      <c r="W349" t="s">
        <v>33</v>
      </c>
      <c r="X349" t="s">
        <v>66</v>
      </c>
      <c r="Y349">
        <v>3</v>
      </c>
      <c r="Z349">
        <v>15</v>
      </c>
      <c r="AA349">
        <v>4</v>
      </c>
      <c r="AB349" t="s">
        <v>55</v>
      </c>
      <c r="AC349" t="s">
        <v>56</v>
      </c>
      <c r="AD349">
        <v>2025</v>
      </c>
    </row>
    <row r="350" spans="1:30" x14ac:dyDescent="0.45">
      <c r="A350" t="s">
        <v>786</v>
      </c>
      <c r="B350" t="s">
        <v>787</v>
      </c>
      <c r="C350" t="str">
        <f>_xlfn.XLOOKUP(Sales_Data[[#This Row],[Product_ID]],Product_Master[Product_ID],Product_Master[Product],"Not Found")</f>
        <v>Aluminium Windows</v>
      </c>
      <c r="D350" s="3">
        <v>45986</v>
      </c>
      <c r="E350" t="s">
        <v>59</v>
      </c>
      <c r="F350" t="s">
        <v>39</v>
      </c>
      <c r="G350" t="s">
        <v>50</v>
      </c>
      <c r="H350" t="s">
        <v>83</v>
      </c>
      <c r="I350" t="s">
        <v>52</v>
      </c>
      <c r="J350" t="s">
        <v>53</v>
      </c>
      <c r="K350" t="s">
        <v>31</v>
      </c>
      <c r="L350">
        <v>1</v>
      </c>
      <c r="M350">
        <v>22166</v>
      </c>
      <c r="N350">
        <v>0.05</v>
      </c>
      <c r="O350">
        <v>22166</v>
      </c>
      <c r="P350">
        <v>1108.3</v>
      </c>
      <c r="Q350">
        <v>21057.7</v>
      </c>
      <c r="R350">
        <f>YEAR(Sales_Data[[#This Row],[Order_Date]])</f>
        <v>2025</v>
      </c>
      <c r="S350" t="str">
        <f>TEXT(Sales_Data[[#This Row],[Order_Date]],"mmmm")</f>
        <v>November</v>
      </c>
      <c r="T350">
        <f t="shared" si="5"/>
        <v>11</v>
      </c>
      <c r="U350" t="str">
        <f>"Q"&amp;ROUNDUP(MONTH(Sales_Data[[#This Row],[Order_Date]])/3,0)</f>
        <v>Q4</v>
      </c>
      <c r="V350" t="s">
        <v>98</v>
      </c>
      <c r="W350" t="s">
        <v>54</v>
      </c>
      <c r="X350" t="s">
        <v>45</v>
      </c>
      <c r="Y350">
        <v>4</v>
      </c>
      <c r="Z350">
        <v>21</v>
      </c>
      <c r="AA350">
        <v>1</v>
      </c>
      <c r="AB350" t="s">
        <v>67</v>
      </c>
      <c r="AC350" t="s">
        <v>36</v>
      </c>
      <c r="AD350">
        <v>2025</v>
      </c>
    </row>
    <row r="351" spans="1:30" x14ac:dyDescent="0.45">
      <c r="A351" t="s">
        <v>788</v>
      </c>
      <c r="B351" t="s">
        <v>789</v>
      </c>
      <c r="C351" t="str">
        <f>_xlfn.XLOOKUP(Sales_Data[[#This Row],[Product_ID]],Product_Master[Product_ID],Product_Master[Product],"Not Found")</f>
        <v>Bi-Fold Doors</v>
      </c>
      <c r="D351" s="3">
        <v>45746</v>
      </c>
      <c r="E351" t="s">
        <v>59</v>
      </c>
      <c r="F351" t="s">
        <v>60</v>
      </c>
      <c r="G351" t="s">
        <v>111</v>
      </c>
      <c r="H351" t="s">
        <v>28</v>
      </c>
      <c r="I351" t="s">
        <v>41</v>
      </c>
      <c r="J351" t="s">
        <v>42</v>
      </c>
      <c r="K351" t="s">
        <v>43</v>
      </c>
      <c r="L351">
        <v>4</v>
      </c>
      <c r="M351">
        <v>59164</v>
      </c>
      <c r="N351">
        <v>0</v>
      </c>
      <c r="O351">
        <v>236656</v>
      </c>
      <c r="P351">
        <v>0</v>
      </c>
      <c r="Q351">
        <v>236656</v>
      </c>
      <c r="R351">
        <f>YEAR(Sales_Data[[#This Row],[Order_Date]])</f>
        <v>2025</v>
      </c>
      <c r="S351" t="str">
        <f>TEXT(Sales_Data[[#This Row],[Order_Date]],"mmmm")</f>
        <v>March</v>
      </c>
      <c r="T351">
        <f t="shared" si="5"/>
        <v>3</v>
      </c>
      <c r="U351" t="str">
        <f>"Q"&amp;ROUNDUP(MONTH(Sales_Data[[#This Row],[Order_Date]])/3,0)</f>
        <v>Q1</v>
      </c>
      <c r="V351" t="s">
        <v>64</v>
      </c>
      <c r="W351" t="s">
        <v>33</v>
      </c>
      <c r="X351" t="s">
        <v>34</v>
      </c>
      <c r="Y351">
        <v>1</v>
      </c>
      <c r="Z351">
        <v>17</v>
      </c>
      <c r="AA351">
        <v>2</v>
      </c>
      <c r="AB351" t="s">
        <v>130</v>
      </c>
      <c r="AC351" t="s">
        <v>56</v>
      </c>
      <c r="AD351">
        <v>2025</v>
      </c>
    </row>
    <row r="352" spans="1:30" x14ac:dyDescent="0.45">
      <c r="A352" t="s">
        <v>790</v>
      </c>
      <c r="B352" t="s">
        <v>791</v>
      </c>
      <c r="C352" t="str">
        <f>_xlfn.XLOOKUP(Sales_Data[[#This Row],[Product_ID]],Product_Master[Product_ID],Product_Master[Product],"Not Found")</f>
        <v>Sliding Doors</v>
      </c>
      <c r="D352" s="3">
        <v>45779</v>
      </c>
      <c r="E352" t="s">
        <v>25</v>
      </c>
      <c r="F352" t="s">
        <v>70</v>
      </c>
      <c r="G352" t="s">
        <v>61</v>
      </c>
      <c r="H352" t="s">
        <v>83</v>
      </c>
      <c r="I352" t="s">
        <v>101</v>
      </c>
      <c r="J352" t="s">
        <v>102</v>
      </c>
      <c r="K352" t="s">
        <v>43</v>
      </c>
      <c r="L352">
        <v>1</v>
      </c>
      <c r="M352">
        <v>39775</v>
      </c>
      <c r="N352">
        <v>0.05</v>
      </c>
      <c r="O352">
        <v>39775</v>
      </c>
      <c r="P352">
        <v>1988.75</v>
      </c>
      <c r="Q352">
        <v>37786.25</v>
      </c>
      <c r="R352">
        <f>YEAR(Sales_Data[[#This Row],[Order_Date]])</f>
        <v>2025</v>
      </c>
      <c r="S352" t="str">
        <f>TEXT(Sales_Data[[#This Row],[Order_Date]],"mmmm")</f>
        <v>May</v>
      </c>
      <c r="T352">
        <f t="shared" si="5"/>
        <v>5</v>
      </c>
      <c r="U352" t="str">
        <f>"Q"&amp;ROUNDUP(MONTH(Sales_Data[[#This Row],[Order_Date]])/3,0)</f>
        <v>Q2</v>
      </c>
      <c r="V352" t="s">
        <v>32</v>
      </c>
      <c r="W352" t="s">
        <v>33</v>
      </c>
      <c r="X352" t="s">
        <v>66</v>
      </c>
      <c r="Y352">
        <v>1</v>
      </c>
      <c r="Z352">
        <v>12</v>
      </c>
      <c r="AA352">
        <v>4</v>
      </c>
      <c r="AB352" t="s">
        <v>72</v>
      </c>
      <c r="AC352" t="s">
        <v>47</v>
      </c>
      <c r="AD352">
        <v>2025</v>
      </c>
    </row>
    <row r="353" spans="1:30" x14ac:dyDescent="0.45">
      <c r="A353" t="s">
        <v>792</v>
      </c>
      <c r="B353" t="s">
        <v>793</v>
      </c>
      <c r="C353" t="str">
        <f>_xlfn.XLOOKUP(Sales_Data[[#This Row],[Product_ID]],Product_Master[Product_ID],Product_Master[Product],"Not Found")</f>
        <v>Casement Windows</v>
      </c>
      <c r="D353" s="3">
        <v>45794</v>
      </c>
      <c r="E353" t="s">
        <v>59</v>
      </c>
      <c r="F353" t="s">
        <v>26</v>
      </c>
      <c r="G353" t="s">
        <v>111</v>
      </c>
      <c r="H353" t="s">
        <v>83</v>
      </c>
      <c r="I353" t="s">
        <v>75</v>
      </c>
      <c r="J353" t="s">
        <v>76</v>
      </c>
      <c r="K353" t="s">
        <v>31</v>
      </c>
      <c r="L353">
        <v>5</v>
      </c>
      <c r="M353">
        <v>26745</v>
      </c>
      <c r="N353">
        <v>0</v>
      </c>
      <c r="O353">
        <v>133725</v>
      </c>
      <c r="P353">
        <v>0</v>
      </c>
      <c r="Q353">
        <v>133725</v>
      </c>
      <c r="R353">
        <f>YEAR(Sales_Data[[#This Row],[Order_Date]])</f>
        <v>2025</v>
      </c>
      <c r="S353" t="str">
        <f>TEXT(Sales_Data[[#This Row],[Order_Date]],"mmmm")</f>
        <v>May</v>
      </c>
      <c r="T353">
        <f t="shared" si="5"/>
        <v>5</v>
      </c>
      <c r="U353" t="str">
        <f>"Q"&amp;ROUNDUP(MONTH(Sales_Data[[#This Row],[Order_Date]])/3,0)</f>
        <v>Q2</v>
      </c>
      <c r="V353" t="s">
        <v>32</v>
      </c>
      <c r="W353" t="s">
        <v>33</v>
      </c>
      <c r="X353" t="s">
        <v>45</v>
      </c>
      <c r="Y353">
        <v>1</v>
      </c>
      <c r="Z353">
        <v>11</v>
      </c>
      <c r="AA353">
        <v>3</v>
      </c>
      <c r="AB353" t="s">
        <v>72</v>
      </c>
      <c r="AC353" t="s">
        <v>47</v>
      </c>
      <c r="AD353">
        <v>2025</v>
      </c>
    </row>
    <row r="354" spans="1:30" x14ac:dyDescent="0.45">
      <c r="A354" t="s">
        <v>794</v>
      </c>
      <c r="B354" t="s">
        <v>795</v>
      </c>
      <c r="C354" t="str">
        <f>_xlfn.XLOOKUP(Sales_Data[[#This Row],[Product_ID]],Product_Master[Product_ID],Product_Master[Product],"Not Found")</f>
        <v>uPVC Doors</v>
      </c>
      <c r="D354" s="3">
        <v>45702</v>
      </c>
      <c r="E354" t="s">
        <v>25</v>
      </c>
      <c r="F354" t="s">
        <v>26</v>
      </c>
      <c r="G354" t="s">
        <v>40</v>
      </c>
      <c r="H354" t="s">
        <v>83</v>
      </c>
      <c r="I354" t="s">
        <v>107</v>
      </c>
      <c r="J354" t="s">
        <v>108</v>
      </c>
      <c r="K354" t="s">
        <v>43</v>
      </c>
      <c r="L354">
        <v>4</v>
      </c>
      <c r="M354">
        <v>30871</v>
      </c>
      <c r="N354">
        <v>0.05</v>
      </c>
      <c r="O354">
        <v>123484</v>
      </c>
      <c r="P354">
        <v>6174.2</v>
      </c>
      <c r="Q354">
        <v>117309.8</v>
      </c>
      <c r="R354">
        <f>YEAR(Sales_Data[[#This Row],[Order_Date]])</f>
        <v>2025</v>
      </c>
      <c r="S354" t="str">
        <f>TEXT(Sales_Data[[#This Row],[Order_Date]],"mmmm")</f>
        <v>February</v>
      </c>
      <c r="T354">
        <f t="shared" si="5"/>
        <v>2</v>
      </c>
      <c r="U354" t="str">
        <f>"Q"&amp;ROUNDUP(MONTH(Sales_Data[[#This Row],[Order_Date]])/3,0)</f>
        <v>Q1</v>
      </c>
      <c r="V354" t="s">
        <v>32</v>
      </c>
      <c r="W354" t="s">
        <v>33</v>
      </c>
      <c r="X354" t="s">
        <v>45</v>
      </c>
      <c r="Y354">
        <v>7</v>
      </c>
      <c r="Z354">
        <v>9</v>
      </c>
      <c r="AA354">
        <v>3</v>
      </c>
      <c r="AB354" t="s">
        <v>55</v>
      </c>
      <c r="AC354" t="s">
        <v>56</v>
      </c>
      <c r="AD354">
        <v>2025</v>
      </c>
    </row>
    <row r="355" spans="1:30" x14ac:dyDescent="0.45">
      <c r="A355" t="s">
        <v>796</v>
      </c>
      <c r="B355" t="s">
        <v>797</v>
      </c>
      <c r="C355" t="str">
        <f>_xlfn.XLOOKUP(Sales_Data[[#This Row],[Product_ID]],Product_Master[Product_ID],Product_Master[Product],"Not Found")</f>
        <v>French Doors</v>
      </c>
      <c r="D355" s="3">
        <v>45658</v>
      </c>
      <c r="E355" t="s">
        <v>59</v>
      </c>
      <c r="F355" t="s">
        <v>39</v>
      </c>
      <c r="G355" t="s">
        <v>50</v>
      </c>
      <c r="H355" t="s">
        <v>28</v>
      </c>
      <c r="I355" t="s">
        <v>84</v>
      </c>
      <c r="J355" t="s">
        <v>85</v>
      </c>
      <c r="K355" t="s">
        <v>43</v>
      </c>
      <c r="L355">
        <v>3</v>
      </c>
      <c r="M355">
        <v>43264</v>
      </c>
      <c r="N355">
        <v>0.15</v>
      </c>
      <c r="O355">
        <v>129792</v>
      </c>
      <c r="P355">
        <v>19468.8</v>
      </c>
      <c r="Q355">
        <v>110323.2</v>
      </c>
      <c r="R355">
        <f>YEAR(Sales_Data[[#This Row],[Order_Date]])</f>
        <v>2025</v>
      </c>
      <c r="S355" t="str">
        <f>TEXT(Sales_Data[[#This Row],[Order_Date]],"mmmm")</f>
        <v>January</v>
      </c>
      <c r="T355">
        <f t="shared" si="5"/>
        <v>1</v>
      </c>
      <c r="U355" t="str">
        <f>"Q"&amp;ROUNDUP(MONTH(Sales_Data[[#This Row],[Order_Date]])/3,0)</f>
        <v>Q1</v>
      </c>
      <c r="V355" t="s">
        <v>98</v>
      </c>
      <c r="W355" t="s">
        <v>65</v>
      </c>
      <c r="X355" t="s">
        <v>45</v>
      </c>
      <c r="Y355">
        <v>2</v>
      </c>
      <c r="Z355">
        <v>5</v>
      </c>
      <c r="AA355">
        <v>4</v>
      </c>
      <c r="AB355" t="s">
        <v>144</v>
      </c>
      <c r="AC355" t="s">
        <v>56</v>
      </c>
      <c r="AD355">
        <v>2025</v>
      </c>
    </row>
    <row r="356" spans="1:30" x14ac:dyDescent="0.45">
      <c r="A356" t="s">
        <v>798</v>
      </c>
      <c r="B356" t="s">
        <v>799</v>
      </c>
      <c r="C356" t="str">
        <f>_xlfn.XLOOKUP(Sales_Data[[#This Row],[Product_ID]],Product_Master[Product_ID],Product_Master[Product],"Not Found")</f>
        <v>Sliding Doors</v>
      </c>
      <c r="D356" s="3">
        <v>45998</v>
      </c>
      <c r="E356" t="s">
        <v>59</v>
      </c>
      <c r="F356" t="s">
        <v>70</v>
      </c>
      <c r="G356" t="s">
        <v>82</v>
      </c>
      <c r="H356" t="s">
        <v>51</v>
      </c>
      <c r="I356" t="s">
        <v>101</v>
      </c>
      <c r="J356" t="s">
        <v>102</v>
      </c>
      <c r="K356" t="s">
        <v>43</v>
      </c>
      <c r="L356">
        <v>1</v>
      </c>
      <c r="M356">
        <v>33740</v>
      </c>
      <c r="N356">
        <v>0.1</v>
      </c>
      <c r="O356">
        <v>33740</v>
      </c>
      <c r="P356">
        <v>3374</v>
      </c>
      <c r="Q356">
        <v>30366</v>
      </c>
      <c r="R356">
        <f>YEAR(Sales_Data[[#This Row],[Order_Date]])</f>
        <v>2025</v>
      </c>
      <c r="S356" t="str">
        <f>TEXT(Sales_Data[[#This Row],[Order_Date]],"mmmm")</f>
        <v>December</v>
      </c>
      <c r="T356">
        <f t="shared" si="5"/>
        <v>12</v>
      </c>
      <c r="U356" t="str">
        <f>"Q"&amp;ROUNDUP(MONTH(Sales_Data[[#This Row],[Order_Date]])/3,0)</f>
        <v>Q4</v>
      </c>
      <c r="V356" t="s">
        <v>32</v>
      </c>
      <c r="W356" t="s">
        <v>33</v>
      </c>
      <c r="X356" t="s">
        <v>34</v>
      </c>
      <c r="Y356">
        <v>1</v>
      </c>
      <c r="Z356">
        <v>19</v>
      </c>
      <c r="AA356">
        <v>4</v>
      </c>
      <c r="AB356" t="s">
        <v>113</v>
      </c>
      <c r="AC356" t="s">
        <v>36</v>
      </c>
      <c r="AD356">
        <v>2025</v>
      </c>
    </row>
    <row r="357" spans="1:30" x14ac:dyDescent="0.45">
      <c r="A357" t="s">
        <v>800</v>
      </c>
      <c r="B357" t="s">
        <v>801</v>
      </c>
      <c r="C357" t="str">
        <f>_xlfn.XLOOKUP(Sales_Data[[#This Row],[Product_ID]],Product_Master[Product_ID],Product_Master[Product],"Not Found")</f>
        <v>Sliding Doors</v>
      </c>
      <c r="D357" s="3">
        <v>45901</v>
      </c>
      <c r="E357" t="s">
        <v>25</v>
      </c>
      <c r="F357" t="s">
        <v>60</v>
      </c>
      <c r="G357" t="s">
        <v>116</v>
      </c>
      <c r="H357" t="s">
        <v>71</v>
      </c>
      <c r="I357" t="s">
        <v>101</v>
      </c>
      <c r="J357" t="s">
        <v>102</v>
      </c>
      <c r="K357" t="s">
        <v>43</v>
      </c>
      <c r="L357">
        <v>5</v>
      </c>
      <c r="M357">
        <v>34304</v>
      </c>
      <c r="N357">
        <v>0.2</v>
      </c>
      <c r="O357">
        <v>171520</v>
      </c>
      <c r="P357">
        <v>34304</v>
      </c>
      <c r="Q357">
        <v>137216</v>
      </c>
      <c r="R357">
        <f>YEAR(Sales_Data[[#This Row],[Order_Date]])</f>
        <v>2025</v>
      </c>
      <c r="S357" t="str">
        <f>TEXT(Sales_Data[[#This Row],[Order_Date]],"mmmm")</f>
        <v>September</v>
      </c>
      <c r="T357">
        <f t="shared" si="5"/>
        <v>9</v>
      </c>
      <c r="U357" t="str">
        <f>"Q"&amp;ROUNDUP(MONTH(Sales_Data[[#This Row],[Order_Date]])/3,0)</f>
        <v>Q3</v>
      </c>
      <c r="V357" t="s">
        <v>32</v>
      </c>
      <c r="W357" t="s">
        <v>54</v>
      </c>
      <c r="X357" t="s">
        <v>34</v>
      </c>
      <c r="Y357">
        <v>6</v>
      </c>
      <c r="Z357">
        <v>21</v>
      </c>
      <c r="AA357">
        <v>5</v>
      </c>
      <c r="AB357" t="s">
        <v>89</v>
      </c>
      <c r="AC357" t="s">
        <v>90</v>
      </c>
      <c r="AD357">
        <v>2025</v>
      </c>
    </row>
    <row r="358" spans="1:30" x14ac:dyDescent="0.45">
      <c r="A358" t="s">
        <v>802</v>
      </c>
      <c r="B358" t="s">
        <v>803</v>
      </c>
      <c r="C358" t="str">
        <f>_xlfn.XLOOKUP(Sales_Data[[#This Row],[Product_ID]],Product_Master[Product_ID],Product_Master[Product],"Not Found")</f>
        <v>Sliding Doors</v>
      </c>
      <c r="D358" s="3">
        <v>45844</v>
      </c>
      <c r="E358" t="s">
        <v>59</v>
      </c>
      <c r="F358" t="s">
        <v>70</v>
      </c>
      <c r="G358" t="s">
        <v>82</v>
      </c>
      <c r="H358" t="s">
        <v>28</v>
      </c>
      <c r="I358" t="s">
        <v>101</v>
      </c>
      <c r="J358" t="s">
        <v>102</v>
      </c>
      <c r="K358" t="s">
        <v>43</v>
      </c>
      <c r="L358">
        <v>2</v>
      </c>
      <c r="M358">
        <v>31974</v>
      </c>
      <c r="N358">
        <v>0.1</v>
      </c>
      <c r="O358">
        <v>63948</v>
      </c>
      <c r="P358">
        <v>6394.8</v>
      </c>
      <c r="Q358">
        <v>57553.2</v>
      </c>
      <c r="R358">
        <f>YEAR(Sales_Data[[#This Row],[Order_Date]])</f>
        <v>2025</v>
      </c>
      <c r="S358" t="str">
        <f>TEXT(Sales_Data[[#This Row],[Order_Date]],"mmmm")</f>
        <v>July</v>
      </c>
      <c r="T358">
        <f t="shared" si="5"/>
        <v>7</v>
      </c>
      <c r="U358" t="str">
        <f>"Q"&amp;ROUNDUP(MONTH(Sales_Data[[#This Row],[Order_Date]])/3,0)</f>
        <v>Q3</v>
      </c>
      <c r="V358" t="s">
        <v>64</v>
      </c>
      <c r="W358" t="s">
        <v>33</v>
      </c>
      <c r="X358" t="s">
        <v>93</v>
      </c>
      <c r="Y358">
        <v>3</v>
      </c>
      <c r="Z358">
        <v>11</v>
      </c>
      <c r="AA358">
        <v>2</v>
      </c>
      <c r="AB358" t="s">
        <v>155</v>
      </c>
      <c r="AC358" t="s">
        <v>90</v>
      </c>
      <c r="AD358">
        <v>2025</v>
      </c>
    </row>
    <row r="359" spans="1:30" x14ac:dyDescent="0.45">
      <c r="A359" t="s">
        <v>804</v>
      </c>
      <c r="B359" t="s">
        <v>805</v>
      </c>
      <c r="C359" t="str">
        <f>_xlfn.XLOOKUP(Sales_Data[[#This Row],[Product_ID]],Product_Master[Product_ID],Product_Master[Product],"Not Found")</f>
        <v>Bi-Fold Doors</v>
      </c>
      <c r="D359" s="3">
        <v>45846</v>
      </c>
      <c r="E359" t="s">
        <v>59</v>
      </c>
      <c r="F359" t="s">
        <v>70</v>
      </c>
      <c r="G359" t="s">
        <v>116</v>
      </c>
      <c r="H359" t="s">
        <v>28</v>
      </c>
      <c r="I359" t="s">
        <v>41</v>
      </c>
      <c r="J359" t="s">
        <v>42</v>
      </c>
      <c r="K359" t="s">
        <v>43</v>
      </c>
      <c r="L359">
        <v>6</v>
      </c>
      <c r="M359">
        <v>53235</v>
      </c>
      <c r="N359">
        <v>0.05</v>
      </c>
      <c r="O359">
        <v>319410</v>
      </c>
      <c r="P359">
        <v>15970.5</v>
      </c>
      <c r="Q359">
        <v>303439.5</v>
      </c>
      <c r="R359">
        <f>YEAR(Sales_Data[[#This Row],[Order_Date]])</f>
        <v>2025</v>
      </c>
      <c r="S359" t="str">
        <f>TEXT(Sales_Data[[#This Row],[Order_Date]],"mmmm")</f>
        <v>July</v>
      </c>
      <c r="T359">
        <f t="shared" si="5"/>
        <v>7</v>
      </c>
      <c r="U359" t="str">
        <f>"Q"&amp;ROUNDUP(MONTH(Sales_Data[[#This Row],[Order_Date]])/3,0)</f>
        <v>Q3</v>
      </c>
      <c r="V359" t="s">
        <v>98</v>
      </c>
      <c r="W359" t="s">
        <v>54</v>
      </c>
      <c r="X359" t="s">
        <v>45</v>
      </c>
      <c r="Y359">
        <v>4</v>
      </c>
      <c r="Z359">
        <v>6</v>
      </c>
      <c r="AA359">
        <v>5</v>
      </c>
      <c r="AB359" t="s">
        <v>155</v>
      </c>
      <c r="AC359" t="s">
        <v>90</v>
      </c>
      <c r="AD359">
        <v>2025</v>
      </c>
    </row>
    <row r="360" spans="1:30" x14ac:dyDescent="0.45">
      <c r="A360" t="s">
        <v>806</v>
      </c>
      <c r="B360" t="s">
        <v>807</v>
      </c>
      <c r="C360" t="str">
        <f>_xlfn.XLOOKUP(Sales_Data[[#This Row],[Product_ID]],Product_Master[Product_ID],Product_Master[Product],"Not Found")</f>
        <v>uPVC Windows</v>
      </c>
      <c r="D360" s="3">
        <v>45854</v>
      </c>
      <c r="E360" t="s">
        <v>25</v>
      </c>
      <c r="F360" t="s">
        <v>70</v>
      </c>
      <c r="G360" t="s">
        <v>27</v>
      </c>
      <c r="H360" t="s">
        <v>51</v>
      </c>
      <c r="I360" t="s">
        <v>62</v>
      </c>
      <c r="J360" t="s">
        <v>63</v>
      </c>
      <c r="K360" t="s">
        <v>31</v>
      </c>
      <c r="L360">
        <v>6</v>
      </c>
      <c r="M360">
        <v>18705</v>
      </c>
      <c r="N360">
        <v>0.2</v>
      </c>
      <c r="O360">
        <v>112230</v>
      </c>
      <c r="P360">
        <v>22446</v>
      </c>
      <c r="Q360">
        <v>89784</v>
      </c>
      <c r="R360">
        <f>YEAR(Sales_Data[[#This Row],[Order_Date]])</f>
        <v>2025</v>
      </c>
      <c r="S360" t="str">
        <f>TEXT(Sales_Data[[#This Row],[Order_Date]],"mmmm")</f>
        <v>July</v>
      </c>
      <c r="T360">
        <f t="shared" si="5"/>
        <v>7</v>
      </c>
      <c r="U360" t="str">
        <f>"Q"&amp;ROUNDUP(MONTH(Sales_Data[[#This Row],[Order_Date]])/3,0)</f>
        <v>Q3</v>
      </c>
      <c r="V360" t="s">
        <v>44</v>
      </c>
      <c r="W360" t="s">
        <v>33</v>
      </c>
      <c r="X360" t="s">
        <v>45</v>
      </c>
      <c r="Y360">
        <v>5</v>
      </c>
      <c r="Z360">
        <v>27</v>
      </c>
      <c r="AA360">
        <v>5</v>
      </c>
      <c r="AB360" t="s">
        <v>155</v>
      </c>
      <c r="AC360" t="s">
        <v>90</v>
      </c>
      <c r="AD360">
        <v>2025</v>
      </c>
    </row>
    <row r="361" spans="1:30" x14ac:dyDescent="0.45">
      <c r="A361" t="s">
        <v>808</v>
      </c>
      <c r="B361" t="s">
        <v>809</v>
      </c>
      <c r="C361" t="str">
        <f>_xlfn.XLOOKUP(Sales_Data[[#This Row],[Product_ID]],Product_Master[Product_ID],Product_Master[Product],"Not Found")</f>
        <v>Aluminium Windows</v>
      </c>
      <c r="D361" s="3">
        <v>45744</v>
      </c>
      <c r="E361" t="s">
        <v>25</v>
      </c>
      <c r="F361" t="s">
        <v>39</v>
      </c>
      <c r="G361" t="s">
        <v>111</v>
      </c>
      <c r="H361" t="s">
        <v>71</v>
      </c>
      <c r="I361" t="s">
        <v>52</v>
      </c>
      <c r="J361" t="s">
        <v>53</v>
      </c>
      <c r="K361" t="s">
        <v>31</v>
      </c>
      <c r="L361">
        <v>2</v>
      </c>
      <c r="M361">
        <v>24313</v>
      </c>
      <c r="N361">
        <v>0.05</v>
      </c>
      <c r="O361">
        <v>48626</v>
      </c>
      <c r="P361">
        <v>2431.3000000000002</v>
      </c>
      <c r="Q361">
        <v>46194.7</v>
      </c>
      <c r="R361">
        <f>YEAR(Sales_Data[[#This Row],[Order_Date]])</f>
        <v>2025</v>
      </c>
      <c r="S361" t="str">
        <f>TEXT(Sales_Data[[#This Row],[Order_Date]],"mmmm")</f>
        <v>March</v>
      </c>
      <c r="T361">
        <f t="shared" si="5"/>
        <v>3</v>
      </c>
      <c r="U361" t="str">
        <f>"Q"&amp;ROUNDUP(MONTH(Sales_Data[[#This Row],[Order_Date]])/3,0)</f>
        <v>Q1</v>
      </c>
      <c r="V361" t="s">
        <v>32</v>
      </c>
      <c r="W361" t="s">
        <v>33</v>
      </c>
      <c r="X361" t="s">
        <v>45</v>
      </c>
      <c r="Y361">
        <v>3</v>
      </c>
      <c r="Z361">
        <v>20</v>
      </c>
      <c r="AA361">
        <v>5</v>
      </c>
      <c r="AB361" t="s">
        <v>130</v>
      </c>
      <c r="AC361" t="s">
        <v>56</v>
      </c>
      <c r="AD361">
        <v>2025</v>
      </c>
    </row>
    <row r="362" spans="1:30" x14ac:dyDescent="0.45">
      <c r="A362" t="s">
        <v>810</v>
      </c>
      <c r="B362" t="s">
        <v>811</v>
      </c>
      <c r="C362" t="str">
        <f>_xlfn.XLOOKUP(Sales_Data[[#This Row],[Product_ID]],Product_Master[Product_ID],Product_Master[Product],"Not Found")</f>
        <v>Bi-Fold Doors</v>
      </c>
      <c r="D362" s="3">
        <v>45883</v>
      </c>
      <c r="E362" t="s">
        <v>25</v>
      </c>
      <c r="F362" t="s">
        <v>70</v>
      </c>
      <c r="G362" t="s">
        <v>61</v>
      </c>
      <c r="H362" t="s">
        <v>88</v>
      </c>
      <c r="I362" t="s">
        <v>41</v>
      </c>
      <c r="J362" t="s">
        <v>42</v>
      </c>
      <c r="K362" t="s">
        <v>43</v>
      </c>
      <c r="L362">
        <v>1</v>
      </c>
      <c r="M362">
        <v>53268</v>
      </c>
      <c r="N362">
        <v>0.15</v>
      </c>
      <c r="O362">
        <v>53268</v>
      </c>
      <c r="P362">
        <v>7990.2</v>
      </c>
      <c r="Q362">
        <v>45277.8</v>
      </c>
      <c r="R362">
        <f>YEAR(Sales_Data[[#This Row],[Order_Date]])</f>
        <v>2025</v>
      </c>
      <c r="S362" t="str">
        <f>TEXT(Sales_Data[[#This Row],[Order_Date]],"mmmm")</f>
        <v>August</v>
      </c>
      <c r="T362">
        <f t="shared" si="5"/>
        <v>8</v>
      </c>
      <c r="U362" t="str">
        <f>"Q"&amp;ROUNDUP(MONTH(Sales_Data[[#This Row],[Order_Date]])/3,0)</f>
        <v>Q3</v>
      </c>
      <c r="V362" t="s">
        <v>32</v>
      </c>
      <c r="W362" t="s">
        <v>54</v>
      </c>
      <c r="X362" t="s">
        <v>45</v>
      </c>
      <c r="Y362">
        <v>1</v>
      </c>
      <c r="Z362">
        <v>25</v>
      </c>
      <c r="AA362">
        <v>5</v>
      </c>
      <c r="AB362" t="s">
        <v>123</v>
      </c>
      <c r="AC362" t="s">
        <v>90</v>
      </c>
      <c r="AD362">
        <v>2025</v>
      </c>
    </row>
    <row r="363" spans="1:30" x14ac:dyDescent="0.45">
      <c r="A363" t="s">
        <v>812</v>
      </c>
      <c r="B363" t="s">
        <v>813</v>
      </c>
      <c r="C363" t="str">
        <f>_xlfn.XLOOKUP(Sales_Data[[#This Row],[Product_ID]],Product_Master[Product_ID],Product_Master[Product],"Not Found")</f>
        <v>French Doors</v>
      </c>
      <c r="D363" s="3">
        <v>45729</v>
      </c>
      <c r="E363" t="s">
        <v>59</v>
      </c>
      <c r="F363" t="s">
        <v>26</v>
      </c>
      <c r="G363" t="s">
        <v>40</v>
      </c>
      <c r="H363" t="s">
        <v>112</v>
      </c>
      <c r="I363" t="s">
        <v>84</v>
      </c>
      <c r="J363" t="s">
        <v>85</v>
      </c>
      <c r="K363" t="s">
        <v>43</v>
      </c>
      <c r="L363">
        <v>2</v>
      </c>
      <c r="M363">
        <v>46523</v>
      </c>
      <c r="N363">
        <v>0.05</v>
      </c>
      <c r="O363">
        <v>93046</v>
      </c>
      <c r="P363">
        <v>4652.3</v>
      </c>
      <c r="Q363">
        <v>88393.7</v>
      </c>
      <c r="R363">
        <f>YEAR(Sales_Data[[#This Row],[Order_Date]])</f>
        <v>2025</v>
      </c>
      <c r="S363" t="str">
        <f>TEXT(Sales_Data[[#This Row],[Order_Date]],"mmmm")</f>
        <v>March</v>
      </c>
      <c r="T363">
        <f t="shared" si="5"/>
        <v>3</v>
      </c>
      <c r="U363" t="str">
        <f>"Q"&amp;ROUNDUP(MONTH(Sales_Data[[#This Row],[Order_Date]])/3,0)</f>
        <v>Q1</v>
      </c>
      <c r="V363" t="s">
        <v>32</v>
      </c>
      <c r="W363" t="s">
        <v>65</v>
      </c>
      <c r="X363" t="s">
        <v>93</v>
      </c>
      <c r="Y363">
        <v>1</v>
      </c>
      <c r="Z363">
        <v>29</v>
      </c>
      <c r="AA363">
        <v>3</v>
      </c>
      <c r="AB363" t="s">
        <v>130</v>
      </c>
      <c r="AC363" t="s">
        <v>56</v>
      </c>
      <c r="AD363">
        <v>2025</v>
      </c>
    </row>
    <row r="364" spans="1:30" x14ac:dyDescent="0.45">
      <c r="A364" t="s">
        <v>814</v>
      </c>
      <c r="B364" t="s">
        <v>815</v>
      </c>
      <c r="C364" t="str">
        <f>_xlfn.XLOOKUP(Sales_Data[[#This Row],[Product_ID]],Product_Master[Product_ID],Product_Master[Product],"Not Found")</f>
        <v>Aluminium Windows</v>
      </c>
      <c r="D364" s="3">
        <v>45767</v>
      </c>
      <c r="E364" t="s">
        <v>59</v>
      </c>
      <c r="F364" t="s">
        <v>70</v>
      </c>
      <c r="G364" t="s">
        <v>82</v>
      </c>
      <c r="H364" t="s">
        <v>83</v>
      </c>
      <c r="I364" t="s">
        <v>52</v>
      </c>
      <c r="J364" t="s">
        <v>53</v>
      </c>
      <c r="K364" t="s">
        <v>31</v>
      </c>
      <c r="L364">
        <v>3</v>
      </c>
      <c r="M364">
        <v>23269</v>
      </c>
      <c r="N364">
        <v>0.05</v>
      </c>
      <c r="O364">
        <v>69807</v>
      </c>
      <c r="P364">
        <v>3490.35</v>
      </c>
      <c r="Q364">
        <v>66316.649999999994</v>
      </c>
      <c r="R364">
        <f>YEAR(Sales_Data[[#This Row],[Order_Date]])</f>
        <v>2025</v>
      </c>
      <c r="S364" t="str">
        <f>TEXT(Sales_Data[[#This Row],[Order_Date]],"mmmm")</f>
        <v>April</v>
      </c>
      <c r="T364">
        <f t="shared" si="5"/>
        <v>4</v>
      </c>
      <c r="U364" t="str">
        <f>"Q"&amp;ROUNDUP(MONTH(Sales_Data[[#This Row],[Order_Date]])/3,0)</f>
        <v>Q2</v>
      </c>
      <c r="V364" t="s">
        <v>32</v>
      </c>
      <c r="W364" t="s">
        <v>54</v>
      </c>
      <c r="X364" t="s">
        <v>45</v>
      </c>
      <c r="Y364">
        <v>4</v>
      </c>
      <c r="Z364">
        <v>26</v>
      </c>
      <c r="AA364">
        <v>2</v>
      </c>
      <c r="AB364" t="s">
        <v>77</v>
      </c>
      <c r="AC364" t="s">
        <v>47</v>
      </c>
      <c r="AD364">
        <v>2025</v>
      </c>
    </row>
    <row r="365" spans="1:30" x14ac:dyDescent="0.45">
      <c r="A365" t="s">
        <v>816</v>
      </c>
      <c r="B365" t="s">
        <v>817</v>
      </c>
      <c r="C365" t="str">
        <f>_xlfn.XLOOKUP(Sales_Data[[#This Row],[Product_ID]],Product_Master[Product_ID],Product_Master[Product],"Not Found")</f>
        <v>French Doors</v>
      </c>
      <c r="D365" s="3">
        <v>45841</v>
      </c>
      <c r="E365" t="s">
        <v>25</v>
      </c>
      <c r="F365" t="s">
        <v>60</v>
      </c>
      <c r="G365" t="s">
        <v>50</v>
      </c>
      <c r="H365" t="s">
        <v>119</v>
      </c>
      <c r="I365" t="s">
        <v>84</v>
      </c>
      <c r="J365" t="s">
        <v>85</v>
      </c>
      <c r="K365" t="s">
        <v>43</v>
      </c>
      <c r="L365">
        <v>6</v>
      </c>
      <c r="M365">
        <v>45220</v>
      </c>
      <c r="N365">
        <v>0.05</v>
      </c>
      <c r="O365">
        <v>271320</v>
      </c>
      <c r="P365">
        <v>13566</v>
      </c>
      <c r="Q365">
        <v>257754</v>
      </c>
      <c r="R365">
        <f>YEAR(Sales_Data[[#This Row],[Order_Date]])</f>
        <v>2025</v>
      </c>
      <c r="S365" t="str">
        <f>TEXT(Sales_Data[[#This Row],[Order_Date]],"mmmm")</f>
        <v>July</v>
      </c>
      <c r="T365">
        <f t="shared" si="5"/>
        <v>7</v>
      </c>
      <c r="U365" t="str">
        <f>"Q"&amp;ROUNDUP(MONTH(Sales_Data[[#This Row],[Order_Date]])/3,0)</f>
        <v>Q3</v>
      </c>
      <c r="V365" t="s">
        <v>122</v>
      </c>
      <c r="W365" t="s">
        <v>33</v>
      </c>
      <c r="X365" t="s">
        <v>34</v>
      </c>
      <c r="Y365">
        <v>1</v>
      </c>
      <c r="Z365">
        <v>20</v>
      </c>
      <c r="AA365">
        <v>4</v>
      </c>
      <c r="AB365" t="s">
        <v>155</v>
      </c>
      <c r="AC365" t="s">
        <v>90</v>
      </c>
      <c r="AD365">
        <v>2025</v>
      </c>
    </row>
    <row r="366" spans="1:30" x14ac:dyDescent="0.45">
      <c r="A366" t="s">
        <v>818</v>
      </c>
      <c r="B366" t="s">
        <v>819</v>
      </c>
      <c r="C366" t="str">
        <f>_xlfn.XLOOKUP(Sales_Data[[#This Row],[Product_ID]],Product_Master[Product_ID],Product_Master[Product],"Not Found")</f>
        <v>Aluminium Windows</v>
      </c>
      <c r="D366" s="3">
        <v>45867</v>
      </c>
      <c r="E366" t="s">
        <v>59</v>
      </c>
      <c r="F366" t="s">
        <v>39</v>
      </c>
      <c r="G366" t="s">
        <v>61</v>
      </c>
      <c r="H366" t="s">
        <v>51</v>
      </c>
      <c r="I366" t="s">
        <v>52</v>
      </c>
      <c r="J366" t="s">
        <v>53</v>
      </c>
      <c r="K366" t="s">
        <v>31</v>
      </c>
      <c r="L366">
        <v>2</v>
      </c>
      <c r="M366">
        <v>20419</v>
      </c>
      <c r="N366">
        <v>0.1</v>
      </c>
      <c r="O366">
        <v>40838</v>
      </c>
      <c r="P366">
        <v>4083.8</v>
      </c>
      <c r="Q366">
        <v>36754.199999999997</v>
      </c>
      <c r="R366">
        <f>YEAR(Sales_Data[[#This Row],[Order_Date]])</f>
        <v>2025</v>
      </c>
      <c r="S366" t="str">
        <f>TEXT(Sales_Data[[#This Row],[Order_Date]],"mmmm")</f>
        <v>July</v>
      </c>
      <c r="T366">
        <f t="shared" si="5"/>
        <v>7</v>
      </c>
      <c r="U366" t="str">
        <f>"Q"&amp;ROUNDUP(MONTH(Sales_Data[[#This Row],[Order_Date]])/3,0)</f>
        <v>Q3</v>
      </c>
      <c r="V366" t="s">
        <v>98</v>
      </c>
      <c r="W366" t="s">
        <v>54</v>
      </c>
      <c r="X366" t="s">
        <v>66</v>
      </c>
      <c r="Y366">
        <v>7</v>
      </c>
      <c r="Z366">
        <v>22</v>
      </c>
      <c r="AA366">
        <v>5</v>
      </c>
      <c r="AB366" t="s">
        <v>155</v>
      </c>
      <c r="AC366" t="s">
        <v>90</v>
      </c>
      <c r="AD366">
        <v>2025</v>
      </c>
    </row>
    <row r="367" spans="1:30" x14ac:dyDescent="0.45">
      <c r="A367" t="s">
        <v>820</v>
      </c>
      <c r="B367" t="s">
        <v>821</v>
      </c>
      <c r="C367" t="str">
        <f>_xlfn.XLOOKUP(Sales_Data[[#This Row],[Product_ID]],Product_Master[Product_ID],Product_Master[Product],"Not Found")</f>
        <v>uPVC Doors</v>
      </c>
      <c r="D367" s="3">
        <v>45711</v>
      </c>
      <c r="E367" t="s">
        <v>25</v>
      </c>
      <c r="F367" t="s">
        <v>70</v>
      </c>
      <c r="G367" t="s">
        <v>61</v>
      </c>
      <c r="H367" t="s">
        <v>28</v>
      </c>
      <c r="I367" t="s">
        <v>107</v>
      </c>
      <c r="J367" t="s">
        <v>108</v>
      </c>
      <c r="K367" t="s">
        <v>43</v>
      </c>
      <c r="L367">
        <v>2</v>
      </c>
      <c r="M367">
        <v>30375</v>
      </c>
      <c r="N367">
        <v>0.05</v>
      </c>
      <c r="O367">
        <v>60750</v>
      </c>
      <c r="P367">
        <v>3037.5</v>
      </c>
      <c r="Q367">
        <v>57712.5</v>
      </c>
      <c r="R367">
        <f>YEAR(Sales_Data[[#This Row],[Order_Date]])</f>
        <v>2025</v>
      </c>
      <c r="S367" t="str">
        <f>TEXT(Sales_Data[[#This Row],[Order_Date]],"mmmm")</f>
        <v>February</v>
      </c>
      <c r="T367">
        <f t="shared" si="5"/>
        <v>2</v>
      </c>
      <c r="U367" t="str">
        <f>"Q"&amp;ROUNDUP(MONTH(Sales_Data[[#This Row],[Order_Date]])/3,0)</f>
        <v>Q1</v>
      </c>
      <c r="V367" t="s">
        <v>32</v>
      </c>
      <c r="W367" t="s">
        <v>65</v>
      </c>
      <c r="X367" t="s">
        <v>45</v>
      </c>
      <c r="Y367">
        <v>4</v>
      </c>
      <c r="Z367">
        <v>21</v>
      </c>
      <c r="AA367">
        <v>4</v>
      </c>
      <c r="AB367" t="s">
        <v>55</v>
      </c>
      <c r="AC367" t="s">
        <v>56</v>
      </c>
      <c r="AD367">
        <v>2025</v>
      </c>
    </row>
    <row r="368" spans="1:30" x14ac:dyDescent="0.45">
      <c r="A368" t="s">
        <v>822</v>
      </c>
      <c r="B368" t="s">
        <v>823</v>
      </c>
      <c r="C368" t="str">
        <f>_xlfn.XLOOKUP(Sales_Data[[#This Row],[Product_ID]],Product_Master[Product_ID],Product_Master[Product],"Not Found")</f>
        <v>French Doors</v>
      </c>
      <c r="D368" s="3">
        <v>45729</v>
      </c>
      <c r="E368" t="s">
        <v>25</v>
      </c>
      <c r="F368" t="s">
        <v>26</v>
      </c>
      <c r="G368" t="s">
        <v>139</v>
      </c>
      <c r="H368" t="s">
        <v>119</v>
      </c>
      <c r="I368" t="s">
        <v>84</v>
      </c>
      <c r="J368" t="s">
        <v>85</v>
      </c>
      <c r="K368" t="s">
        <v>43</v>
      </c>
      <c r="L368">
        <v>6</v>
      </c>
      <c r="M368">
        <v>39506</v>
      </c>
      <c r="N368">
        <v>0.1</v>
      </c>
      <c r="O368">
        <v>237036</v>
      </c>
      <c r="P368">
        <v>23703.599999999999</v>
      </c>
      <c r="Q368">
        <v>213332.4</v>
      </c>
      <c r="R368">
        <f>YEAR(Sales_Data[[#This Row],[Order_Date]])</f>
        <v>2025</v>
      </c>
      <c r="S368" t="str">
        <f>TEXT(Sales_Data[[#This Row],[Order_Date]],"mmmm")</f>
        <v>March</v>
      </c>
      <c r="T368">
        <f t="shared" si="5"/>
        <v>3</v>
      </c>
      <c r="U368" t="str">
        <f>"Q"&amp;ROUNDUP(MONTH(Sales_Data[[#This Row],[Order_Date]])/3,0)</f>
        <v>Q1</v>
      </c>
      <c r="V368" t="s">
        <v>32</v>
      </c>
      <c r="W368" t="s">
        <v>33</v>
      </c>
      <c r="X368" t="s">
        <v>45</v>
      </c>
      <c r="Y368">
        <v>4</v>
      </c>
      <c r="Z368">
        <v>6</v>
      </c>
      <c r="AA368">
        <v>5</v>
      </c>
      <c r="AB368" t="s">
        <v>130</v>
      </c>
      <c r="AC368" t="s">
        <v>56</v>
      </c>
      <c r="AD368">
        <v>2025</v>
      </c>
    </row>
    <row r="369" spans="1:30" x14ac:dyDescent="0.45">
      <c r="A369" t="s">
        <v>824</v>
      </c>
      <c r="B369" t="s">
        <v>825</v>
      </c>
      <c r="C369" t="str">
        <f>_xlfn.XLOOKUP(Sales_Data[[#This Row],[Product_ID]],Product_Master[Product_ID],Product_Master[Product],"Not Found")</f>
        <v>French Doors</v>
      </c>
      <c r="D369" s="3">
        <v>45906</v>
      </c>
      <c r="E369" t="s">
        <v>25</v>
      </c>
      <c r="F369" t="s">
        <v>60</v>
      </c>
      <c r="G369" t="s">
        <v>116</v>
      </c>
      <c r="H369" t="s">
        <v>51</v>
      </c>
      <c r="I369" t="s">
        <v>84</v>
      </c>
      <c r="J369" t="s">
        <v>85</v>
      </c>
      <c r="K369" t="s">
        <v>43</v>
      </c>
      <c r="L369">
        <v>4</v>
      </c>
      <c r="M369">
        <v>45025</v>
      </c>
      <c r="N369">
        <v>0</v>
      </c>
      <c r="O369">
        <v>180100</v>
      </c>
      <c r="P369">
        <v>0</v>
      </c>
      <c r="Q369">
        <v>180100</v>
      </c>
      <c r="R369">
        <f>YEAR(Sales_Data[[#This Row],[Order_Date]])</f>
        <v>2025</v>
      </c>
      <c r="S369" t="str">
        <f>TEXT(Sales_Data[[#This Row],[Order_Date]],"mmmm")</f>
        <v>September</v>
      </c>
      <c r="T369">
        <f t="shared" si="5"/>
        <v>9</v>
      </c>
      <c r="U369" t="str">
        <f>"Q"&amp;ROUNDUP(MONTH(Sales_Data[[#This Row],[Order_Date]])/3,0)</f>
        <v>Q3</v>
      </c>
      <c r="V369" t="s">
        <v>64</v>
      </c>
      <c r="W369" t="s">
        <v>33</v>
      </c>
      <c r="X369" t="s">
        <v>66</v>
      </c>
      <c r="Y369">
        <v>6</v>
      </c>
      <c r="Z369">
        <v>22</v>
      </c>
      <c r="AA369">
        <v>3</v>
      </c>
      <c r="AB369" t="s">
        <v>89</v>
      </c>
      <c r="AC369" t="s">
        <v>90</v>
      </c>
      <c r="AD369">
        <v>2025</v>
      </c>
    </row>
    <row r="370" spans="1:30" x14ac:dyDescent="0.45">
      <c r="A370" t="s">
        <v>826</v>
      </c>
      <c r="B370" t="s">
        <v>827</v>
      </c>
      <c r="C370" t="str">
        <f>_xlfn.XLOOKUP(Sales_Data[[#This Row],[Product_ID]],Product_Master[Product_ID],Product_Master[Product],"Not Found")</f>
        <v>uPVC Doors</v>
      </c>
      <c r="D370" s="3">
        <v>45833</v>
      </c>
      <c r="E370" t="s">
        <v>59</v>
      </c>
      <c r="F370" t="s">
        <v>70</v>
      </c>
      <c r="G370" t="s">
        <v>116</v>
      </c>
      <c r="H370" t="s">
        <v>51</v>
      </c>
      <c r="I370" t="s">
        <v>107</v>
      </c>
      <c r="J370" t="s">
        <v>108</v>
      </c>
      <c r="K370" t="s">
        <v>43</v>
      </c>
      <c r="L370">
        <v>5</v>
      </c>
      <c r="M370">
        <v>29936</v>
      </c>
      <c r="N370">
        <v>0.1</v>
      </c>
      <c r="O370">
        <v>149680</v>
      </c>
      <c r="P370">
        <v>14968</v>
      </c>
      <c r="Q370">
        <v>134712</v>
      </c>
      <c r="R370">
        <f>YEAR(Sales_Data[[#This Row],[Order_Date]])</f>
        <v>2025</v>
      </c>
      <c r="S370" t="str">
        <f>TEXT(Sales_Data[[#This Row],[Order_Date]],"mmmm")</f>
        <v>June</v>
      </c>
      <c r="T370">
        <f t="shared" si="5"/>
        <v>6</v>
      </c>
      <c r="U370" t="str">
        <f>"Q"&amp;ROUNDUP(MONTH(Sales_Data[[#This Row],[Order_Date]])/3,0)</f>
        <v>Q2</v>
      </c>
      <c r="V370" t="s">
        <v>32</v>
      </c>
      <c r="W370" t="s">
        <v>33</v>
      </c>
      <c r="X370" t="s">
        <v>45</v>
      </c>
      <c r="Y370">
        <v>7</v>
      </c>
      <c r="Z370">
        <v>27</v>
      </c>
      <c r="AA370">
        <v>4</v>
      </c>
      <c r="AB370" t="s">
        <v>46</v>
      </c>
      <c r="AC370" t="s">
        <v>47</v>
      </c>
      <c r="AD370">
        <v>2025</v>
      </c>
    </row>
    <row r="371" spans="1:30" x14ac:dyDescent="0.45">
      <c r="A371" t="s">
        <v>828</v>
      </c>
      <c r="B371" t="s">
        <v>829</v>
      </c>
      <c r="C371" t="str">
        <f>_xlfn.XLOOKUP(Sales_Data[[#This Row],[Product_ID]],Product_Master[Product_ID],Product_Master[Product],"Not Found")</f>
        <v>Casement Windows</v>
      </c>
      <c r="D371" s="3">
        <v>45679</v>
      </c>
      <c r="E371" t="s">
        <v>59</v>
      </c>
      <c r="F371" t="s">
        <v>70</v>
      </c>
      <c r="G371" t="s">
        <v>111</v>
      </c>
      <c r="H371" t="s">
        <v>119</v>
      </c>
      <c r="I371" t="s">
        <v>75</v>
      </c>
      <c r="J371" t="s">
        <v>76</v>
      </c>
      <c r="K371" t="s">
        <v>31</v>
      </c>
      <c r="L371">
        <v>1</v>
      </c>
      <c r="M371">
        <v>25340</v>
      </c>
      <c r="N371">
        <v>0.2</v>
      </c>
      <c r="O371">
        <v>25340</v>
      </c>
      <c r="P371">
        <v>5068</v>
      </c>
      <c r="Q371">
        <v>20272</v>
      </c>
      <c r="R371">
        <f>YEAR(Sales_Data[[#This Row],[Order_Date]])</f>
        <v>2025</v>
      </c>
      <c r="S371" t="str">
        <f>TEXT(Sales_Data[[#This Row],[Order_Date]],"mmmm")</f>
        <v>January</v>
      </c>
      <c r="T371">
        <f t="shared" si="5"/>
        <v>1</v>
      </c>
      <c r="U371" t="str">
        <f>"Q"&amp;ROUNDUP(MONTH(Sales_Data[[#This Row],[Order_Date]])/3,0)</f>
        <v>Q1</v>
      </c>
      <c r="V371" t="s">
        <v>44</v>
      </c>
      <c r="W371" t="s">
        <v>65</v>
      </c>
      <c r="X371" t="s">
        <v>45</v>
      </c>
      <c r="Y371">
        <v>2</v>
      </c>
      <c r="Z371">
        <v>6</v>
      </c>
      <c r="AA371">
        <v>5</v>
      </c>
      <c r="AB371" t="s">
        <v>144</v>
      </c>
      <c r="AC371" t="s">
        <v>56</v>
      </c>
      <c r="AD371">
        <v>2025</v>
      </c>
    </row>
    <row r="372" spans="1:30" x14ac:dyDescent="0.45">
      <c r="A372" t="s">
        <v>830</v>
      </c>
      <c r="B372" t="s">
        <v>831</v>
      </c>
      <c r="C372" t="str">
        <f>_xlfn.XLOOKUP(Sales_Data[[#This Row],[Product_ID]],Product_Master[Product_ID],Product_Master[Product],"Not Found")</f>
        <v>French Doors</v>
      </c>
      <c r="D372" s="3">
        <v>45938</v>
      </c>
      <c r="E372" t="s">
        <v>25</v>
      </c>
      <c r="F372" t="s">
        <v>70</v>
      </c>
      <c r="G372" t="s">
        <v>40</v>
      </c>
      <c r="H372" t="s">
        <v>112</v>
      </c>
      <c r="I372" t="s">
        <v>84</v>
      </c>
      <c r="J372" t="s">
        <v>85</v>
      </c>
      <c r="K372" t="s">
        <v>43</v>
      </c>
      <c r="L372">
        <v>4</v>
      </c>
      <c r="M372">
        <v>37936</v>
      </c>
      <c r="N372">
        <v>0.2</v>
      </c>
      <c r="O372">
        <v>151744</v>
      </c>
      <c r="P372">
        <v>30348.799999999999</v>
      </c>
      <c r="Q372">
        <v>121395.2</v>
      </c>
      <c r="R372">
        <f>YEAR(Sales_Data[[#This Row],[Order_Date]])</f>
        <v>2025</v>
      </c>
      <c r="S372" t="str">
        <f>TEXT(Sales_Data[[#This Row],[Order_Date]],"mmmm")</f>
        <v>October</v>
      </c>
      <c r="T372">
        <f t="shared" si="5"/>
        <v>10</v>
      </c>
      <c r="U372" t="str">
        <f>"Q"&amp;ROUNDUP(MONTH(Sales_Data[[#This Row],[Order_Date]])/3,0)</f>
        <v>Q4</v>
      </c>
      <c r="V372" t="s">
        <v>122</v>
      </c>
      <c r="W372" t="s">
        <v>33</v>
      </c>
      <c r="X372" t="s">
        <v>34</v>
      </c>
      <c r="Y372">
        <v>3</v>
      </c>
      <c r="Z372">
        <v>5</v>
      </c>
      <c r="AA372">
        <v>4</v>
      </c>
      <c r="AB372" t="s">
        <v>35</v>
      </c>
      <c r="AC372" t="s">
        <v>36</v>
      </c>
      <c r="AD372">
        <v>2025</v>
      </c>
    </row>
    <row r="373" spans="1:30" x14ac:dyDescent="0.45">
      <c r="A373" t="s">
        <v>832</v>
      </c>
      <c r="B373" t="s">
        <v>833</v>
      </c>
      <c r="C373" t="str">
        <f>_xlfn.XLOOKUP(Sales_Data[[#This Row],[Product_ID]],Product_Master[Product_ID],Product_Master[Product],"Not Found")</f>
        <v>Sliding Doors</v>
      </c>
      <c r="D373" s="3">
        <v>46004</v>
      </c>
      <c r="E373" t="s">
        <v>25</v>
      </c>
      <c r="F373" t="s">
        <v>70</v>
      </c>
      <c r="G373" t="s">
        <v>116</v>
      </c>
      <c r="H373" t="s">
        <v>83</v>
      </c>
      <c r="I373" t="s">
        <v>101</v>
      </c>
      <c r="J373" t="s">
        <v>102</v>
      </c>
      <c r="K373" t="s">
        <v>43</v>
      </c>
      <c r="L373">
        <v>4</v>
      </c>
      <c r="M373">
        <v>33279</v>
      </c>
      <c r="N373">
        <v>0</v>
      </c>
      <c r="O373">
        <v>133116</v>
      </c>
      <c r="P373">
        <v>0</v>
      </c>
      <c r="Q373">
        <v>133116</v>
      </c>
      <c r="R373">
        <f>YEAR(Sales_Data[[#This Row],[Order_Date]])</f>
        <v>2025</v>
      </c>
      <c r="S373" t="str">
        <f>TEXT(Sales_Data[[#This Row],[Order_Date]],"mmmm")</f>
        <v>December</v>
      </c>
      <c r="T373">
        <f t="shared" si="5"/>
        <v>12</v>
      </c>
      <c r="U373" t="str">
        <f>"Q"&amp;ROUNDUP(MONTH(Sales_Data[[#This Row],[Order_Date]])/3,0)</f>
        <v>Q4</v>
      </c>
      <c r="V373" t="s">
        <v>32</v>
      </c>
      <c r="W373" t="s">
        <v>33</v>
      </c>
      <c r="X373" t="s">
        <v>66</v>
      </c>
      <c r="Y373">
        <v>5</v>
      </c>
      <c r="Z373">
        <v>13</v>
      </c>
      <c r="AA373">
        <v>5</v>
      </c>
      <c r="AB373" t="s">
        <v>113</v>
      </c>
      <c r="AC373" t="s">
        <v>36</v>
      </c>
      <c r="AD373">
        <v>2025</v>
      </c>
    </row>
    <row r="374" spans="1:30" x14ac:dyDescent="0.45">
      <c r="A374" t="s">
        <v>834</v>
      </c>
      <c r="B374" t="s">
        <v>835</v>
      </c>
      <c r="C374" t="str">
        <f>_xlfn.XLOOKUP(Sales_Data[[#This Row],[Product_ID]],Product_Master[Product_ID],Product_Master[Product],"Not Found")</f>
        <v>uPVC Doors</v>
      </c>
      <c r="D374" s="3">
        <v>45989</v>
      </c>
      <c r="E374" t="s">
        <v>25</v>
      </c>
      <c r="F374" t="s">
        <v>26</v>
      </c>
      <c r="G374" t="s">
        <v>50</v>
      </c>
      <c r="H374" t="s">
        <v>119</v>
      </c>
      <c r="I374" t="s">
        <v>107</v>
      </c>
      <c r="J374" t="s">
        <v>108</v>
      </c>
      <c r="K374" t="s">
        <v>43</v>
      </c>
      <c r="L374">
        <v>5</v>
      </c>
      <c r="M374">
        <v>27802</v>
      </c>
      <c r="N374">
        <v>0.1</v>
      </c>
      <c r="O374">
        <v>139010</v>
      </c>
      <c r="P374">
        <v>13901</v>
      </c>
      <c r="Q374">
        <v>125109</v>
      </c>
      <c r="R374">
        <f>YEAR(Sales_Data[[#This Row],[Order_Date]])</f>
        <v>2025</v>
      </c>
      <c r="S374" t="str">
        <f>TEXT(Sales_Data[[#This Row],[Order_Date]],"mmmm")</f>
        <v>November</v>
      </c>
      <c r="T374">
        <f t="shared" si="5"/>
        <v>11</v>
      </c>
      <c r="U374" t="str">
        <f>"Q"&amp;ROUNDUP(MONTH(Sales_Data[[#This Row],[Order_Date]])/3,0)</f>
        <v>Q4</v>
      </c>
      <c r="V374" t="s">
        <v>32</v>
      </c>
      <c r="W374" t="s">
        <v>33</v>
      </c>
      <c r="X374" t="s">
        <v>45</v>
      </c>
      <c r="Y374">
        <v>4</v>
      </c>
      <c r="Z374">
        <v>22</v>
      </c>
      <c r="AA374">
        <v>4</v>
      </c>
      <c r="AB374" t="s">
        <v>67</v>
      </c>
      <c r="AC374" t="s">
        <v>36</v>
      </c>
      <c r="AD374">
        <v>2025</v>
      </c>
    </row>
    <row r="375" spans="1:30" x14ac:dyDescent="0.45">
      <c r="A375" t="s">
        <v>836</v>
      </c>
      <c r="B375" t="s">
        <v>837</v>
      </c>
      <c r="C375" t="str">
        <f>_xlfn.XLOOKUP(Sales_Data[[#This Row],[Product_ID]],Product_Master[Product_ID],Product_Master[Product],"Not Found")</f>
        <v>Casement Windows</v>
      </c>
      <c r="D375" s="3">
        <v>45743</v>
      </c>
      <c r="E375" t="s">
        <v>59</v>
      </c>
      <c r="F375" t="s">
        <v>60</v>
      </c>
      <c r="G375" t="s">
        <v>40</v>
      </c>
      <c r="H375" t="s">
        <v>51</v>
      </c>
      <c r="I375" t="s">
        <v>75</v>
      </c>
      <c r="J375" t="s">
        <v>76</v>
      </c>
      <c r="K375" t="s">
        <v>31</v>
      </c>
      <c r="L375">
        <v>6</v>
      </c>
      <c r="M375">
        <v>28850</v>
      </c>
      <c r="N375">
        <v>0.1</v>
      </c>
      <c r="O375">
        <v>173100</v>
      </c>
      <c r="P375">
        <v>17310</v>
      </c>
      <c r="Q375">
        <v>155790</v>
      </c>
      <c r="R375">
        <f>YEAR(Sales_Data[[#This Row],[Order_Date]])</f>
        <v>2025</v>
      </c>
      <c r="S375" t="str">
        <f>TEXT(Sales_Data[[#This Row],[Order_Date]],"mmmm")</f>
        <v>March</v>
      </c>
      <c r="T375">
        <f t="shared" si="5"/>
        <v>3</v>
      </c>
      <c r="U375" t="str">
        <f>"Q"&amp;ROUNDUP(MONTH(Sales_Data[[#This Row],[Order_Date]])/3,0)</f>
        <v>Q1</v>
      </c>
      <c r="V375" t="s">
        <v>64</v>
      </c>
      <c r="W375" t="s">
        <v>33</v>
      </c>
      <c r="X375" t="s">
        <v>34</v>
      </c>
      <c r="Y375">
        <v>5</v>
      </c>
      <c r="Z375">
        <v>23</v>
      </c>
      <c r="AA375">
        <v>5</v>
      </c>
      <c r="AB375" t="s">
        <v>130</v>
      </c>
      <c r="AC375" t="s">
        <v>56</v>
      </c>
      <c r="AD375">
        <v>2025</v>
      </c>
    </row>
    <row r="376" spans="1:30" x14ac:dyDescent="0.45">
      <c r="A376" t="s">
        <v>838</v>
      </c>
      <c r="B376" t="s">
        <v>839</v>
      </c>
      <c r="C376" t="str">
        <f>_xlfn.XLOOKUP(Sales_Data[[#This Row],[Product_ID]],Product_Master[Product_ID],Product_Master[Product],"Not Found")</f>
        <v>Aluminium Windows</v>
      </c>
      <c r="D376" s="3">
        <v>45958</v>
      </c>
      <c r="E376" t="s">
        <v>59</v>
      </c>
      <c r="F376" t="s">
        <v>70</v>
      </c>
      <c r="G376" t="s">
        <v>50</v>
      </c>
      <c r="H376" t="s">
        <v>119</v>
      </c>
      <c r="I376" t="s">
        <v>52</v>
      </c>
      <c r="J376" t="s">
        <v>53</v>
      </c>
      <c r="K376" t="s">
        <v>31</v>
      </c>
      <c r="L376">
        <v>4</v>
      </c>
      <c r="M376">
        <v>20450</v>
      </c>
      <c r="N376">
        <v>0.1</v>
      </c>
      <c r="O376">
        <v>81800</v>
      </c>
      <c r="P376">
        <v>8180</v>
      </c>
      <c r="Q376">
        <v>73620</v>
      </c>
      <c r="R376">
        <f>YEAR(Sales_Data[[#This Row],[Order_Date]])</f>
        <v>2025</v>
      </c>
      <c r="S376" t="str">
        <f>TEXT(Sales_Data[[#This Row],[Order_Date]],"mmmm")</f>
        <v>October</v>
      </c>
      <c r="T376">
        <f t="shared" si="5"/>
        <v>10</v>
      </c>
      <c r="U376" t="str">
        <f>"Q"&amp;ROUNDUP(MONTH(Sales_Data[[#This Row],[Order_Date]])/3,0)</f>
        <v>Q4</v>
      </c>
      <c r="V376" t="s">
        <v>44</v>
      </c>
      <c r="W376" t="s">
        <v>33</v>
      </c>
      <c r="X376" t="s">
        <v>45</v>
      </c>
      <c r="Y376">
        <v>5</v>
      </c>
      <c r="Z376">
        <v>12</v>
      </c>
      <c r="AA376">
        <v>3</v>
      </c>
      <c r="AB376" t="s">
        <v>35</v>
      </c>
      <c r="AC376" t="s">
        <v>36</v>
      </c>
      <c r="AD376">
        <v>2025</v>
      </c>
    </row>
    <row r="377" spans="1:30" x14ac:dyDescent="0.45">
      <c r="A377" t="s">
        <v>840</v>
      </c>
      <c r="B377" t="s">
        <v>841</v>
      </c>
      <c r="C377" t="str">
        <f>_xlfn.XLOOKUP(Sales_Data[[#This Row],[Product_ID]],Product_Master[Product_ID],Product_Master[Product],"Not Found")</f>
        <v>Sliding Doors</v>
      </c>
      <c r="D377" s="3">
        <v>45792</v>
      </c>
      <c r="E377" t="s">
        <v>59</v>
      </c>
      <c r="F377" t="s">
        <v>60</v>
      </c>
      <c r="G377" t="s">
        <v>82</v>
      </c>
      <c r="H377" t="s">
        <v>51</v>
      </c>
      <c r="I377" t="s">
        <v>101</v>
      </c>
      <c r="J377" t="s">
        <v>102</v>
      </c>
      <c r="K377" t="s">
        <v>43</v>
      </c>
      <c r="L377">
        <v>1</v>
      </c>
      <c r="M377">
        <v>34376</v>
      </c>
      <c r="N377">
        <v>0.1</v>
      </c>
      <c r="O377">
        <v>34376</v>
      </c>
      <c r="P377">
        <v>3437.6</v>
      </c>
      <c r="Q377">
        <v>30938.400000000001</v>
      </c>
      <c r="R377">
        <f>YEAR(Sales_Data[[#This Row],[Order_Date]])</f>
        <v>2025</v>
      </c>
      <c r="S377" t="str">
        <f>TEXT(Sales_Data[[#This Row],[Order_Date]],"mmmm")</f>
        <v>May</v>
      </c>
      <c r="T377">
        <f t="shared" si="5"/>
        <v>5</v>
      </c>
      <c r="U377" t="str">
        <f>"Q"&amp;ROUNDUP(MONTH(Sales_Data[[#This Row],[Order_Date]])/3,0)</f>
        <v>Q2</v>
      </c>
      <c r="V377" t="s">
        <v>32</v>
      </c>
      <c r="W377" t="s">
        <v>33</v>
      </c>
      <c r="X377" t="s">
        <v>45</v>
      </c>
      <c r="Y377">
        <v>6</v>
      </c>
      <c r="Z377">
        <v>10</v>
      </c>
      <c r="AA377">
        <v>5</v>
      </c>
      <c r="AB377" t="s">
        <v>72</v>
      </c>
      <c r="AC377" t="s">
        <v>47</v>
      </c>
      <c r="AD377">
        <v>2025</v>
      </c>
    </row>
    <row r="378" spans="1:30" x14ac:dyDescent="0.45">
      <c r="A378" t="s">
        <v>842</v>
      </c>
      <c r="B378" t="s">
        <v>843</v>
      </c>
      <c r="C378" t="str">
        <f>_xlfn.XLOOKUP(Sales_Data[[#This Row],[Product_ID]],Product_Master[Product_ID],Product_Master[Product],"Not Found")</f>
        <v>Sliding Doors</v>
      </c>
      <c r="D378" s="3">
        <v>45830</v>
      </c>
      <c r="E378" t="s">
        <v>25</v>
      </c>
      <c r="F378" t="s">
        <v>39</v>
      </c>
      <c r="G378" t="s">
        <v>50</v>
      </c>
      <c r="H378" t="s">
        <v>88</v>
      </c>
      <c r="I378" t="s">
        <v>101</v>
      </c>
      <c r="J378" t="s">
        <v>102</v>
      </c>
      <c r="K378" t="s">
        <v>43</v>
      </c>
      <c r="L378">
        <v>6</v>
      </c>
      <c r="M378">
        <v>35726</v>
      </c>
      <c r="N378">
        <v>0.15</v>
      </c>
      <c r="O378">
        <v>214356</v>
      </c>
      <c r="P378">
        <v>32153.4</v>
      </c>
      <c r="Q378">
        <v>182202.6</v>
      </c>
      <c r="R378">
        <f>YEAR(Sales_Data[[#This Row],[Order_Date]])</f>
        <v>2025</v>
      </c>
      <c r="S378" t="str">
        <f>TEXT(Sales_Data[[#This Row],[Order_Date]],"mmmm")</f>
        <v>June</v>
      </c>
      <c r="T378">
        <f t="shared" si="5"/>
        <v>6</v>
      </c>
      <c r="U378" t="str">
        <f>"Q"&amp;ROUNDUP(MONTH(Sales_Data[[#This Row],[Order_Date]])/3,0)</f>
        <v>Q2</v>
      </c>
      <c r="V378" t="s">
        <v>32</v>
      </c>
      <c r="W378" t="s">
        <v>33</v>
      </c>
      <c r="X378" t="s">
        <v>45</v>
      </c>
      <c r="Y378">
        <v>3</v>
      </c>
      <c r="Z378">
        <v>27</v>
      </c>
      <c r="AA378">
        <v>5</v>
      </c>
      <c r="AB378" t="s">
        <v>46</v>
      </c>
      <c r="AC378" t="s">
        <v>47</v>
      </c>
      <c r="AD378">
        <v>2025</v>
      </c>
    </row>
    <row r="379" spans="1:30" x14ac:dyDescent="0.45">
      <c r="A379" t="s">
        <v>844</v>
      </c>
      <c r="B379" t="s">
        <v>845</v>
      </c>
      <c r="C379" t="str">
        <f>_xlfn.XLOOKUP(Sales_Data[[#This Row],[Product_ID]],Product_Master[Product_ID],Product_Master[Product],"Not Found")</f>
        <v>uPVC Doors</v>
      </c>
      <c r="D379" s="3">
        <v>45850</v>
      </c>
      <c r="E379" t="s">
        <v>59</v>
      </c>
      <c r="F379" t="s">
        <v>70</v>
      </c>
      <c r="G379" t="s">
        <v>50</v>
      </c>
      <c r="H379" t="s">
        <v>88</v>
      </c>
      <c r="I379" t="s">
        <v>107</v>
      </c>
      <c r="J379" t="s">
        <v>108</v>
      </c>
      <c r="K379" t="s">
        <v>43</v>
      </c>
      <c r="L379">
        <v>3</v>
      </c>
      <c r="M379">
        <v>29321</v>
      </c>
      <c r="N379">
        <v>0.05</v>
      </c>
      <c r="O379">
        <v>87963</v>
      </c>
      <c r="P379">
        <v>4398.1499999999996</v>
      </c>
      <c r="Q379">
        <v>83564.850000000006</v>
      </c>
      <c r="R379">
        <f>YEAR(Sales_Data[[#This Row],[Order_Date]])</f>
        <v>2025</v>
      </c>
      <c r="S379" t="str">
        <f>TEXT(Sales_Data[[#This Row],[Order_Date]],"mmmm")</f>
        <v>July</v>
      </c>
      <c r="T379">
        <f t="shared" si="5"/>
        <v>7</v>
      </c>
      <c r="U379" t="str">
        <f>"Q"&amp;ROUNDUP(MONTH(Sales_Data[[#This Row],[Order_Date]])/3,0)</f>
        <v>Q3</v>
      </c>
      <c r="V379" t="s">
        <v>98</v>
      </c>
      <c r="W379" t="s">
        <v>65</v>
      </c>
      <c r="X379" t="s">
        <v>66</v>
      </c>
      <c r="Y379">
        <v>7</v>
      </c>
      <c r="Z379">
        <v>5</v>
      </c>
      <c r="AA379">
        <v>5</v>
      </c>
      <c r="AB379" t="s">
        <v>155</v>
      </c>
      <c r="AC379" t="s">
        <v>90</v>
      </c>
      <c r="AD379">
        <v>2025</v>
      </c>
    </row>
    <row r="380" spans="1:30" x14ac:dyDescent="0.45">
      <c r="A380" t="s">
        <v>846</v>
      </c>
      <c r="B380" t="s">
        <v>847</v>
      </c>
      <c r="C380" t="str">
        <f>_xlfn.XLOOKUP(Sales_Data[[#This Row],[Product_ID]],Product_Master[Product_ID],Product_Master[Product],"Not Found")</f>
        <v>French Doors</v>
      </c>
      <c r="D380" s="3">
        <v>45724</v>
      </c>
      <c r="E380" t="s">
        <v>25</v>
      </c>
      <c r="F380" t="s">
        <v>39</v>
      </c>
      <c r="G380" t="s">
        <v>50</v>
      </c>
      <c r="H380" t="s">
        <v>112</v>
      </c>
      <c r="I380" t="s">
        <v>84</v>
      </c>
      <c r="J380" t="s">
        <v>85</v>
      </c>
      <c r="K380" t="s">
        <v>43</v>
      </c>
      <c r="L380">
        <v>1</v>
      </c>
      <c r="M380">
        <v>38910</v>
      </c>
      <c r="N380">
        <v>0.1</v>
      </c>
      <c r="O380">
        <v>38910</v>
      </c>
      <c r="P380">
        <v>3891</v>
      </c>
      <c r="Q380">
        <v>35019</v>
      </c>
      <c r="R380">
        <f>YEAR(Sales_Data[[#This Row],[Order_Date]])</f>
        <v>2025</v>
      </c>
      <c r="S380" t="str">
        <f>TEXT(Sales_Data[[#This Row],[Order_Date]],"mmmm")</f>
        <v>March</v>
      </c>
      <c r="T380">
        <f t="shared" si="5"/>
        <v>3</v>
      </c>
      <c r="U380" t="str">
        <f>"Q"&amp;ROUNDUP(MONTH(Sales_Data[[#This Row],[Order_Date]])/3,0)</f>
        <v>Q1</v>
      </c>
      <c r="V380" t="s">
        <v>64</v>
      </c>
      <c r="W380" t="s">
        <v>33</v>
      </c>
      <c r="X380" t="s">
        <v>93</v>
      </c>
      <c r="Y380">
        <v>7</v>
      </c>
      <c r="Z380">
        <v>10</v>
      </c>
      <c r="AA380">
        <v>4</v>
      </c>
      <c r="AB380" t="s">
        <v>130</v>
      </c>
      <c r="AC380" t="s">
        <v>56</v>
      </c>
      <c r="AD380">
        <v>2025</v>
      </c>
    </row>
    <row r="381" spans="1:30" x14ac:dyDescent="0.45">
      <c r="A381" t="s">
        <v>848</v>
      </c>
      <c r="B381" t="s">
        <v>849</v>
      </c>
      <c r="C381" t="str">
        <f>_xlfn.XLOOKUP(Sales_Data[[#This Row],[Product_ID]],Product_Master[Product_ID],Product_Master[Product],"Not Found")</f>
        <v>Bi-Fold Doors</v>
      </c>
      <c r="D381" s="3">
        <v>45968</v>
      </c>
      <c r="E381" t="s">
        <v>59</v>
      </c>
      <c r="F381" t="s">
        <v>26</v>
      </c>
      <c r="G381" t="s">
        <v>139</v>
      </c>
      <c r="H381" t="s">
        <v>88</v>
      </c>
      <c r="I381" t="s">
        <v>41</v>
      </c>
      <c r="J381" t="s">
        <v>42</v>
      </c>
      <c r="K381" t="s">
        <v>43</v>
      </c>
      <c r="L381">
        <v>3</v>
      </c>
      <c r="M381">
        <v>53334</v>
      </c>
      <c r="N381">
        <v>0.2</v>
      </c>
      <c r="O381">
        <v>160002</v>
      </c>
      <c r="P381">
        <v>32000.400000000001</v>
      </c>
      <c r="Q381">
        <v>128001.60000000001</v>
      </c>
      <c r="R381">
        <f>YEAR(Sales_Data[[#This Row],[Order_Date]])</f>
        <v>2025</v>
      </c>
      <c r="S381" t="str">
        <f>TEXT(Sales_Data[[#This Row],[Order_Date]],"mmmm")</f>
        <v>November</v>
      </c>
      <c r="T381">
        <f t="shared" si="5"/>
        <v>11</v>
      </c>
      <c r="U381" t="str">
        <f>"Q"&amp;ROUNDUP(MONTH(Sales_Data[[#This Row],[Order_Date]])/3,0)</f>
        <v>Q4</v>
      </c>
      <c r="V381" t="s">
        <v>32</v>
      </c>
      <c r="W381" t="s">
        <v>54</v>
      </c>
      <c r="X381" t="s">
        <v>45</v>
      </c>
      <c r="Y381">
        <v>2</v>
      </c>
      <c r="Z381">
        <v>11</v>
      </c>
      <c r="AA381">
        <v>3</v>
      </c>
      <c r="AB381" t="s">
        <v>67</v>
      </c>
      <c r="AC381" t="s">
        <v>36</v>
      </c>
      <c r="AD381">
        <v>2025</v>
      </c>
    </row>
    <row r="382" spans="1:30" x14ac:dyDescent="0.45">
      <c r="A382" t="s">
        <v>850</v>
      </c>
      <c r="B382" t="s">
        <v>851</v>
      </c>
      <c r="C382" t="str">
        <f>_xlfn.XLOOKUP(Sales_Data[[#This Row],[Product_ID]],Product_Master[Product_ID],Product_Master[Product],"Not Found")</f>
        <v>French Doors</v>
      </c>
      <c r="D382" s="3">
        <v>45820</v>
      </c>
      <c r="E382" t="s">
        <v>25</v>
      </c>
      <c r="F382" t="s">
        <v>60</v>
      </c>
      <c r="G382" t="s">
        <v>139</v>
      </c>
      <c r="H382" t="s">
        <v>112</v>
      </c>
      <c r="I382" t="s">
        <v>84</v>
      </c>
      <c r="J382" t="s">
        <v>85</v>
      </c>
      <c r="K382" t="s">
        <v>43</v>
      </c>
      <c r="L382">
        <v>4</v>
      </c>
      <c r="M382">
        <v>44909</v>
      </c>
      <c r="N382">
        <v>0.15</v>
      </c>
      <c r="O382">
        <v>179636</v>
      </c>
      <c r="P382">
        <v>26945.4</v>
      </c>
      <c r="Q382">
        <v>152690.6</v>
      </c>
      <c r="R382">
        <f>YEAR(Sales_Data[[#This Row],[Order_Date]])</f>
        <v>2025</v>
      </c>
      <c r="S382" t="str">
        <f>TEXT(Sales_Data[[#This Row],[Order_Date]],"mmmm")</f>
        <v>June</v>
      </c>
      <c r="T382">
        <f t="shared" si="5"/>
        <v>6</v>
      </c>
      <c r="U382" t="str">
        <f>"Q"&amp;ROUNDUP(MONTH(Sales_Data[[#This Row],[Order_Date]])/3,0)</f>
        <v>Q2</v>
      </c>
      <c r="V382" t="s">
        <v>32</v>
      </c>
      <c r="W382" t="s">
        <v>54</v>
      </c>
      <c r="X382" t="s">
        <v>45</v>
      </c>
      <c r="Y382">
        <v>3</v>
      </c>
      <c r="Z382">
        <v>24</v>
      </c>
      <c r="AA382">
        <v>4</v>
      </c>
      <c r="AB382" t="s">
        <v>46</v>
      </c>
      <c r="AC382" t="s">
        <v>47</v>
      </c>
      <c r="AD382">
        <v>2025</v>
      </c>
    </row>
    <row r="383" spans="1:30" x14ac:dyDescent="0.45">
      <c r="A383" t="s">
        <v>852</v>
      </c>
      <c r="B383" t="s">
        <v>853</v>
      </c>
      <c r="C383" t="str">
        <f>_xlfn.XLOOKUP(Sales_Data[[#This Row],[Product_ID]],Product_Master[Product_ID],Product_Master[Product],"Not Found")</f>
        <v>uPVC Doors</v>
      </c>
      <c r="D383" s="3">
        <v>45678</v>
      </c>
      <c r="E383" t="s">
        <v>25</v>
      </c>
      <c r="F383" t="s">
        <v>26</v>
      </c>
      <c r="G383" t="s">
        <v>40</v>
      </c>
      <c r="H383" t="s">
        <v>83</v>
      </c>
      <c r="I383" t="s">
        <v>107</v>
      </c>
      <c r="J383" t="s">
        <v>108</v>
      </c>
      <c r="K383" t="s">
        <v>43</v>
      </c>
      <c r="L383">
        <v>6</v>
      </c>
      <c r="M383">
        <v>32829</v>
      </c>
      <c r="N383">
        <v>0.05</v>
      </c>
      <c r="O383">
        <v>196974</v>
      </c>
      <c r="P383">
        <v>9848.7000000000007</v>
      </c>
      <c r="Q383">
        <v>187125.3</v>
      </c>
      <c r="R383">
        <f>YEAR(Sales_Data[[#This Row],[Order_Date]])</f>
        <v>2025</v>
      </c>
      <c r="S383" t="str">
        <f>TEXT(Sales_Data[[#This Row],[Order_Date]],"mmmm")</f>
        <v>January</v>
      </c>
      <c r="T383">
        <f t="shared" si="5"/>
        <v>1</v>
      </c>
      <c r="U383" t="str">
        <f>"Q"&amp;ROUNDUP(MONTH(Sales_Data[[#This Row],[Order_Date]])/3,0)</f>
        <v>Q1</v>
      </c>
      <c r="V383" t="s">
        <v>32</v>
      </c>
      <c r="W383" t="s">
        <v>33</v>
      </c>
      <c r="X383" t="s">
        <v>93</v>
      </c>
      <c r="Y383">
        <v>2</v>
      </c>
      <c r="Z383">
        <v>19</v>
      </c>
      <c r="AA383">
        <v>2</v>
      </c>
      <c r="AB383" t="s">
        <v>144</v>
      </c>
      <c r="AC383" t="s">
        <v>56</v>
      </c>
      <c r="AD383">
        <v>2025</v>
      </c>
    </row>
    <row r="384" spans="1:30" x14ac:dyDescent="0.45">
      <c r="A384" t="s">
        <v>854</v>
      </c>
      <c r="B384" t="s">
        <v>855</v>
      </c>
      <c r="C384" t="str">
        <f>_xlfn.XLOOKUP(Sales_Data[[#This Row],[Product_ID]],Product_Master[Product_ID],Product_Master[Product],"Not Found")</f>
        <v>Sliding Doors</v>
      </c>
      <c r="D384" s="3">
        <v>45983</v>
      </c>
      <c r="E384" t="s">
        <v>59</v>
      </c>
      <c r="F384" t="s">
        <v>70</v>
      </c>
      <c r="G384" t="s">
        <v>50</v>
      </c>
      <c r="H384" t="s">
        <v>83</v>
      </c>
      <c r="I384" t="s">
        <v>101</v>
      </c>
      <c r="J384" t="s">
        <v>102</v>
      </c>
      <c r="K384" t="s">
        <v>43</v>
      </c>
      <c r="L384">
        <v>4</v>
      </c>
      <c r="M384">
        <v>37124</v>
      </c>
      <c r="N384">
        <v>0.05</v>
      </c>
      <c r="O384">
        <v>148496</v>
      </c>
      <c r="P384">
        <v>7424.8</v>
      </c>
      <c r="Q384">
        <v>141071.20000000001</v>
      </c>
      <c r="R384">
        <f>YEAR(Sales_Data[[#This Row],[Order_Date]])</f>
        <v>2025</v>
      </c>
      <c r="S384" t="str">
        <f>TEXT(Sales_Data[[#This Row],[Order_Date]],"mmmm")</f>
        <v>November</v>
      </c>
      <c r="T384">
        <f t="shared" si="5"/>
        <v>11</v>
      </c>
      <c r="U384" t="str">
        <f>"Q"&amp;ROUNDUP(MONTH(Sales_Data[[#This Row],[Order_Date]])/3,0)</f>
        <v>Q4</v>
      </c>
      <c r="V384" t="s">
        <v>32</v>
      </c>
      <c r="W384" t="s">
        <v>33</v>
      </c>
      <c r="X384" t="s">
        <v>93</v>
      </c>
      <c r="Y384">
        <v>1</v>
      </c>
      <c r="Z384">
        <v>6</v>
      </c>
      <c r="AA384">
        <v>4</v>
      </c>
      <c r="AB384" t="s">
        <v>67</v>
      </c>
      <c r="AC384" t="s">
        <v>36</v>
      </c>
      <c r="AD384">
        <v>2025</v>
      </c>
    </row>
    <row r="385" spans="1:30" x14ac:dyDescent="0.45">
      <c r="A385" t="s">
        <v>856</v>
      </c>
      <c r="B385" t="s">
        <v>857</v>
      </c>
      <c r="C385" t="str">
        <f>_xlfn.XLOOKUP(Sales_Data[[#This Row],[Product_ID]],Product_Master[Product_ID],Product_Master[Product],"Not Found")</f>
        <v>uPVC Windows</v>
      </c>
      <c r="D385" s="3">
        <v>45673</v>
      </c>
      <c r="E385" t="s">
        <v>59</v>
      </c>
      <c r="F385" t="s">
        <v>26</v>
      </c>
      <c r="G385" t="s">
        <v>116</v>
      </c>
      <c r="H385" t="s">
        <v>51</v>
      </c>
      <c r="I385" t="s">
        <v>62</v>
      </c>
      <c r="J385" t="s">
        <v>63</v>
      </c>
      <c r="K385" t="s">
        <v>31</v>
      </c>
      <c r="L385">
        <v>1</v>
      </c>
      <c r="M385">
        <v>17141</v>
      </c>
      <c r="N385">
        <v>0.05</v>
      </c>
      <c r="O385">
        <v>17141</v>
      </c>
      <c r="P385">
        <v>857.05</v>
      </c>
      <c r="Q385">
        <v>16283.95</v>
      </c>
      <c r="R385">
        <f>YEAR(Sales_Data[[#This Row],[Order_Date]])</f>
        <v>2025</v>
      </c>
      <c r="S385" t="str">
        <f>TEXT(Sales_Data[[#This Row],[Order_Date]],"mmmm")</f>
        <v>January</v>
      </c>
      <c r="T385">
        <f t="shared" si="5"/>
        <v>1</v>
      </c>
      <c r="U385" t="str">
        <f>"Q"&amp;ROUNDUP(MONTH(Sales_Data[[#This Row],[Order_Date]])/3,0)</f>
        <v>Q1</v>
      </c>
      <c r="V385" t="s">
        <v>32</v>
      </c>
      <c r="W385" t="s">
        <v>33</v>
      </c>
      <c r="X385" t="s">
        <v>45</v>
      </c>
      <c r="Y385">
        <v>2</v>
      </c>
      <c r="Z385">
        <v>6</v>
      </c>
      <c r="AA385">
        <v>5</v>
      </c>
      <c r="AB385" t="s">
        <v>144</v>
      </c>
      <c r="AC385" t="s">
        <v>56</v>
      </c>
      <c r="AD385">
        <v>2025</v>
      </c>
    </row>
    <row r="386" spans="1:30" x14ac:dyDescent="0.45">
      <c r="A386" t="s">
        <v>858</v>
      </c>
      <c r="B386" t="s">
        <v>859</v>
      </c>
      <c r="C386" t="str">
        <f>_xlfn.XLOOKUP(Sales_Data[[#This Row],[Product_ID]],Product_Master[Product_ID],Product_Master[Product],"Not Found")</f>
        <v>Aluminium Windows</v>
      </c>
      <c r="D386" s="3">
        <v>45993</v>
      </c>
      <c r="E386" t="s">
        <v>25</v>
      </c>
      <c r="F386" t="s">
        <v>60</v>
      </c>
      <c r="G386" t="s">
        <v>82</v>
      </c>
      <c r="H386" t="s">
        <v>112</v>
      </c>
      <c r="I386" t="s">
        <v>52</v>
      </c>
      <c r="J386" t="s">
        <v>53</v>
      </c>
      <c r="K386" t="s">
        <v>31</v>
      </c>
      <c r="L386">
        <v>4</v>
      </c>
      <c r="M386">
        <v>21118</v>
      </c>
      <c r="N386">
        <v>0.05</v>
      </c>
      <c r="O386">
        <v>84472</v>
      </c>
      <c r="P386">
        <v>4223.6000000000004</v>
      </c>
      <c r="Q386">
        <v>80248.399999999994</v>
      </c>
      <c r="R386">
        <f>YEAR(Sales_Data[[#This Row],[Order_Date]])</f>
        <v>2025</v>
      </c>
      <c r="S386" t="str">
        <f>TEXT(Sales_Data[[#This Row],[Order_Date]],"mmmm")</f>
        <v>December</v>
      </c>
      <c r="T386">
        <f t="shared" ref="T386:T422" si="6">MONTH($D386)</f>
        <v>12</v>
      </c>
      <c r="U386" t="str">
        <f>"Q"&amp;ROUNDUP(MONTH(Sales_Data[[#This Row],[Order_Date]])/3,0)</f>
        <v>Q4</v>
      </c>
      <c r="V386" t="s">
        <v>32</v>
      </c>
      <c r="W386" t="s">
        <v>33</v>
      </c>
      <c r="X386" t="s">
        <v>66</v>
      </c>
      <c r="Y386">
        <v>2</v>
      </c>
      <c r="Z386">
        <v>5</v>
      </c>
      <c r="AA386">
        <v>3</v>
      </c>
      <c r="AB386" t="s">
        <v>113</v>
      </c>
      <c r="AC386" t="s">
        <v>36</v>
      </c>
      <c r="AD386">
        <v>2025</v>
      </c>
    </row>
    <row r="387" spans="1:30" x14ac:dyDescent="0.45">
      <c r="A387" t="s">
        <v>860</v>
      </c>
      <c r="B387" t="s">
        <v>861</v>
      </c>
      <c r="C387" t="str">
        <f>_xlfn.XLOOKUP(Sales_Data[[#This Row],[Product_ID]],Product_Master[Product_ID],Product_Master[Product],"Not Found")</f>
        <v>Soundproof Windows</v>
      </c>
      <c r="D387" s="3">
        <v>45699</v>
      </c>
      <c r="E387" t="s">
        <v>25</v>
      </c>
      <c r="F387" t="s">
        <v>70</v>
      </c>
      <c r="G387" t="s">
        <v>116</v>
      </c>
      <c r="H387" t="s">
        <v>83</v>
      </c>
      <c r="I387" t="s">
        <v>29</v>
      </c>
      <c r="J387" t="s">
        <v>30</v>
      </c>
      <c r="K387" t="s">
        <v>31</v>
      </c>
      <c r="L387">
        <v>1</v>
      </c>
      <c r="M387">
        <v>48992</v>
      </c>
      <c r="N387">
        <v>0.05</v>
      </c>
      <c r="O387">
        <v>48992</v>
      </c>
      <c r="P387">
        <v>2449.6</v>
      </c>
      <c r="Q387">
        <v>46542.400000000001</v>
      </c>
      <c r="R387">
        <f>YEAR(Sales_Data[[#This Row],[Order_Date]])</f>
        <v>2025</v>
      </c>
      <c r="S387" t="str">
        <f>TEXT(Sales_Data[[#This Row],[Order_Date]],"mmmm")</f>
        <v>February</v>
      </c>
      <c r="T387">
        <f t="shared" si="6"/>
        <v>2</v>
      </c>
      <c r="U387" t="str">
        <f>"Q"&amp;ROUNDUP(MONTH(Sales_Data[[#This Row],[Order_Date]])/3,0)</f>
        <v>Q1</v>
      </c>
      <c r="V387" t="s">
        <v>98</v>
      </c>
      <c r="W387" t="s">
        <v>33</v>
      </c>
      <c r="X387" t="s">
        <v>66</v>
      </c>
      <c r="Y387">
        <v>7</v>
      </c>
      <c r="Z387">
        <v>25</v>
      </c>
      <c r="AA387">
        <v>5</v>
      </c>
      <c r="AB387" t="s">
        <v>55</v>
      </c>
      <c r="AC387" t="s">
        <v>56</v>
      </c>
      <c r="AD387">
        <v>2025</v>
      </c>
    </row>
    <row r="388" spans="1:30" x14ac:dyDescent="0.45">
      <c r="A388" t="s">
        <v>862</v>
      </c>
      <c r="B388" t="s">
        <v>863</v>
      </c>
      <c r="C388" t="str">
        <f>_xlfn.XLOOKUP(Sales_Data[[#This Row],[Product_ID]],Product_Master[Product_ID],Product_Master[Product],"Not Found")</f>
        <v>Aluminium Windows</v>
      </c>
      <c r="D388" s="3">
        <v>45727</v>
      </c>
      <c r="E388" t="s">
        <v>59</v>
      </c>
      <c r="F388" t="s">
        <v>26</v>
      </c>
      <c r="G388" t="s">
        <v>116</v>
      </c>
      <c r="H388" t="s">
        <v>88</v>
      </c>
      <c r="I388" t="s">
        <v>52</v>
      </c>
      <c r="J388" t="s">
        <v>53</v>
      </c>
      <c r="K388" t="s">
        <v>31</v>
      </c>
      <c r="L388">
        <v>3</v>
      </c>
      <c r="M388">
        <v>23528</v>
      </c>
      <c r="N388">
        <v>0.1</v>
      </c>
      <c r="O388">
        <v>70584</v>
      </c>
      <c r="P388">
        <v>7058.4</v>
      </c>
      <c r="Q388">
        <v>63525.599999999999</v>
      </c>
      <c r="R388">
        <f>YEAR(Sales_Data[[#This Row],[Order_Date]])</f>
        <v>2025</v>
      </c>
      <c r="S388" t="str">
        <f>TEXT(Sales_Data[[#This Row],[Order_Date]],"mmmm")</f>
        <v>March</v>
      </c>
      <c r="T388">
        <f t="shared" si="6"/>
        <v>3</v>
      </c>
      <c r="U388" t="str">
        <f>"Q"&amp;ROUNDUP(MONTH(Sales_Data[[#This Row],[Order_Date]])/3,0)</f>
        <v>Q1</v>
      </c>
      <c r="V388" t="s">
        <v>64</v>
      </c>
      <c r="W388" t="s">
        <v>54</v>
      </c>
      <c r="X388" t="s">
        <v>45</v>
      </c>
      <c r="Y388">
        <v>6</v>
      </c>
      <c r="Z388">
        <v>27</v>
      </c>
      <c r="AA388">
        <v>5</v>
      </c>
      <c r="AB388" t="s">
        <v>130</v>
      </c>
      <c r="AC388" t="s">
        <v>56</v>
      </c>
      <c r="AD388">
        <v>2025</v>
      </c>
    </row>
    <row r="389" spans="1:30" x14ac:dyDescent="0.45">
      <c r="A389" t="s">
        <v>864</v>
      </c>
      <c r="B389" t="s">
        <v>865</v>
      </c>
      <c r="C389" t="str">
        <f>_xlfn.XLOOKUP(Sales_Data[[#This Row],[Product_ID]],Product_Master[Product_ID],Product_Master[Product],"Not Found")</f>
        <v>Bi-Fold Doors</v>
      </c>
      <c r="D389" s="3">
        <v>46012</v>
      </c>
      <c r="E389" t="s">
        <v>25</v>
      </c>
      <c r="F389" t="s">
        <v>26</v>
      </c>
      <c r="G389" t="s">
        <v>61</v>
      </c>
      <c r="H389" t="s">
        <v>119</v>
      </c>
      <c r="I389" t="s">
        <v>41</v>
      </c>
      <c r="J389" t="s">
        <v>42</v>
      </c>
      <c r="K389" t="s">
        <v>43</v>
      </c>
      <c r="L389">
        <v>5</v>
      </c>
      <c r="M389">
        <v>52178</v>
      </c>
      <c r="N389">
        <v>0.15</v>
      </c>
      <c r="O389">
        <v>260890</v>
      </c>
      <c r="P389">
        <v>39133.5</v>
      </c>
      <c r="Q389">
        <v>221756.5</v>
      </c>
      <c r="R389">
        <f>YEAR(Sales_Data[[#This Row],[Order_Date]])</f>
        <v>2025</v>
      </c>
      <c r="S389" t="str">
        <f>TEXT(Sales_Data[[#This Row],[Order_Date]],"mmmm")</f>
        <v>December</v>
      </c>
      <c r="T389">
        <f t="shared" si="6"/>
        <v>12</v>
      </c>
      <c r="U389" t="str">
        <f>"Q"&amp;ROUNDUP(MONTH(Sales_Data[[#This Row],[Order_Date]])/3,0)</f>
        <v>Q4</v>
      </c>
      <c r="V389" t="s">
        <v>32</v>
      </c>
      <c r="W389" t="s">
        <v>65</v>
      </c>
      <c r="X389" t="s">
        <v>45</v>
      </c>
      <c r="Y389">
        <v>1</v>
      </c>
      <c r="Z389">
        <v>23</v>
      </c>
      <c r="AA389">
        <v>3</v>
      </c>
      <c r="AB389" t="s">
        <v>113</v>
      </c>
      <c r="AC389" t="s">
        <v>36</v>
      </c>
      <c r="AD389">
        <v>2025</v>
      </c>
    </row>
    <row r="390" spans="1:30" x14ac:dyDescent="0.45">
      <c r="A390" t="s">
        <v>866</v>
      </c>
      <c r="B390" t="s">
        <v>867</v>
      </c>
      <c r="C390" t="str">
        <f>_xlfn.XLOOKUP(Sales_Data[[#This Row],[Product_ID]],Product_Master[Product_ID],Product_Master[Product],"Not Found")</f>
        <v>Bi-Fold Doors</v>
      </c>
      <c r="D390" s="3">
        <v>45930</v>
      </c>
      <c r="E390" t="s">
        <v>59</v>
      </c>
      <c r="F390" t="s">
        <v>60</v>
      </c>
      <c r="G390" t="s">
        <v>61</v>
      </c>
      <c r="H390" t="s">
        <v>28</v>
      </c>
      <c r="I390" t="s">
        <v>41</v>
      </c>
      <c r="J390" t="s">
        <v>42</v>
      </c>
      <c r="K390" t="s">
        <v>43</v>
      </c>
      <c r="L390">
        <v>2</v>
      </c>
      <c r="M390">
        <v>54106</v>
      </c>
      <c r="N390">
        <v>0.05</v>
      </c>
      <c r="O390">
        <v>108212</v>
      </c>
      <c r="P390">
        <v>5410.6</v>
      </c>
      <c r="Q390">
        <v>102801.4</v>
      </c>
      <c r="R390">
        <f>YEAR(Sales_Data[[#This Row],[Order_Date]])</f>
        <v>2025</v>
      </c>
      <c r="S390" t="str">
        <f>TEXT(Sales_Data[[#This Row],[Order_Date]],"mmmm")</f>
        <v>September</v>
      </c>
      <c r="T390">
        <f t="shared" si="6"/>
        <v>9</v>
      </c>
      <c r="U390" t="str">
        <f>"Q"&amp;ROUNDUP(MONTH(Sales_Data[[#This Row],[Order_Date]])/3,0)</f>
        <v>Q3</v>
      </c>
      <c r="V390" t="s">
        <v>32</v>
      </c>
      <c r="W390" t="s">
        <v>33</v>
      </c>
      <c r="X390" t="s">
        <v>45</v>
      </c>
      <c r="Y390">
        <v>6</v>
      </c>
      <c r="Z390">
        <v>7</v>
      </c>
      <c r="AA390">
        <v>5</v>
      </c>
      <c r="AB390" t="s">
        <v>89</v>
      </c>
      <c r="AC390" t="s">
        <v>90</v>
      </c>
      <c r="AD390">
        <v>2025</v>
      </c>
    </row>
    <row r="391" spans="1:30" x14ac:dyDescent="0.45">
      <c r="A391" t="s">
        <v>868</v>
      </c>
      <c r="B391" t="s">
        <v>869</v>
      </c>
      <c r="C391" t="str">
        <f>_xlfn.XLOOKUP(Sales_Data[[#This Row],[Product_ID]],Product_Master[Product_ID],Product_Master[Product],"Not Found")</f>
        <v>Casement Windows</v>
      </c>
      <c r="D391" s="3">
        <v>45670</v>
      </c>
      <c r="E391" t="s">
        <v>25</v>
      </c>
      <c r="F391" t="s">
        <v>39</v>
      </c>
      <c r="G391" t="s">
        <v>139</v>
      </c>
      <c r="H391" t="s">
        <v>71</v>
      </c>
      <c r="I391" t="s">
        <v>75</v>
      </c>
      <c r="J391" t="s">
        <v>76</v>
      </c>
      <c r="K391" t="s">
        <v>31</v>
      </c>
      <c r="L391">
        <v>2</v>
      </c>
      <c r="M391">
        <v>27716</v>
      </c>
      <c r="N391">
        <v>0.05</v>
      </c>
      <c r="O391">
        <v>55432</v>
      </c>
      <c r="P391">
        <v>2771.6</v>
      </c>
      <c r="Q391">
        <v>52660.4</v>
      </c>
      <c r="R391">
        <f>YEAR(Sales_Data[[#This Row],[Order_Date]])</f>
        <v>2025</v>
      </c>
      <c r="S391" t="str">
        <f>TEXT(Sales_Data[[#This Row],[Order_Date]],"mmmm")</f>
        <v>January</v>
      </c>
      <c r="T391">
        <f t="shared" si="6"/>
        <v>1</v>
      </c>
      <c r="U391" t="str">
        <f>"Q"&amp;ROUNDUP(MONTH(Sales_Data[[#This Row],[Order_Date]])/3,0)</f>
        <v>Q1</v>
      </c>
      <c r="V391" t="s">
        <v>32</v>
      </c>
      <c r="W391" t="s">
        <v>33</v>
      </c>
      <c r="X391" t="s">
        <v>45</v>
      </c>
      <c r="Y391">
        <v>5</v>
      </c>
      <c r="Z391">
        <v>16</v>
      </c>
      <c r="AA391">
        <v>4</v>
      </c>
      <c r="AB391" t="s">
        <v>144</v>
      </c>
      <c r="AC391" t="s">
        <v>56</v>
      </c>
      <c r="AD391">
        <v>2025</v>
      </c>
    </row>
    <row r="392" spans="1:30" x14ac:dyDescent="0.45">
      <c r="A392" t="s">
        <v>870</v>
      </c>
      <c r="B392" t="s">
        <v>871</v>
      </c>
      <c r="C392" t="str">
        <f>_xlfn.XLOOKUP(Sales_Data[[#This Row],[Product_ID]],Product_Master[Product_ID],Product_Master[Product],"Not Found")</f>
        <v>Aluminium Windows</v>
      </c>
      <c r="D392" s="3">
        <v>45716</v>
      </c>
      <c r="E392" t="s">
        <v>25</v>
      </c>
      <c r="F392" t="s">
        <v>70</v>
      </c>
      <c r="G392" t="s">
        <v>61</v>
      </c>
      <c r="H392" t="s">
        <v>28</v>
      </c>
      <c r="I392" t="s">
        <v>52</v>
      </c>
      <c r="J392" t="s">
        <v>53</v>
      </c>
      <c r="K392" t="s">
        <v>31</v>
      </c>
      <c r="L392">
        <v>3</v>
      </c>
      <c r="M392">
        <v>23988</v>
      </c>
      <c r="N392">
        <v>0.05</v>
      </c>
      <c r="O392">
        <v>71964</v>
      </c>
      <c r="P392">
        <v>3598.2</v>
      </c>
      <c r="Q392">
        <v>68365.8</v>
      </c>
      <c r="R392">
        <f>YEAR(Sales_Data[[#This Row],[Order_Date]])</f>
        <v>2025</v>
      </c>
      <c r="S392" t="str">
        <f>TEXT(Sales_Data[[#This Row],[Order_Date]],"mmmm")</f>
        <v>February</v>
      </c>
      <c r="T392">
        <f t="shared" si="6"/>
        <v>2</v>
      </c>
      <c r="U392" t="str">
        <f>"Q"&amp;ROUNDUP(MONTH(Sales_Data[[#This Row],[Order_Date]])/3,0)</f>
        <v>Q1</v>
      </c>
      <c r="V392" t="s">
        <v>44</v>
      </c>
      <c r="W392" t="s">
        <v>33</v>
      </c>
      <c r="X392" t="s">
        <v>45</v>
      </c>
      <c r="Y392">
        <v>5</v>
      </c>
      <c r="Z392">
        <v>9</v>
      </c>
      <c r="AA392">
        <v>2</v>
      </c>
      <c r="AB392" t="s">
        <v>55</v>
      </c>
      <c r="AC392" t="s">
        <v>56</v>
      </c>
      <c r="AD392">
        <v>2025</v>
      </c>
    </row>
    <row r="393" spans="1:30" x14ac:dyDescent="0.45">
      <c r="A393" t="s">
        <v>872</v>
      </c>
      <c r="B393" t="s">
        <v>873</v>
      </c>
      <c r="C393" t="str">
        <f>_xlfn.XLOOKUP(Sales_Data[[#This Row],[Product_ID]],Product_Master[Product_ID],Product_Master[Product],"Not Found")</f>
        <v>Bi-Fold Doors</v>
      </c>
      <c r="D393" s="3">
        <v>45931</v>
      </c>
      <c r="E393" t="s">
        <v>25</v>
      </c>
      <c r="F393" t="s">
        <v>26</v>
      </c>
      <c r="G393" t="s">
        <v>82</v>
      </c>
      <c r="H393" t="s">
        <v>112</v>
      </c>
      <c r="I393" t="s">
        <v>41</v>
      </c>
      <c r="J393" t="s">
        <v>42</v>
      </c>
      <c r="K393" t="s">
        <v>43</v>
      </c>
      <c r="L393">
        <v>3</v>
      </c>
      <c r="M393">
        <v>59264</v>
      </c>
      <c r="N393">
        <v>0.1</v>
      </c>
      <c r="O393">
        <v>177792</v>
      </c>
      <c r="P393">
        <v>17779.2</v>
      </c>
      <c r="Q393">
        <v>160012.79999999999</v>
      </c>
      <c r="R393">
        <f>YEAR(Sales_Data[[#This Row],[Order_Date]])</f>
        <v>2025</v>
      </c>
      <c r="S393" t="str">
        <f>TEXT(Sales_Data[[#This Row],[Order_Date]],"mmmm")</f>
        <v>October</v>
      </c>
      <c r="T393">
        <f t="shared" si="6"/>
        <v>10</v>
      </c>
      <c r="U393" t="str">
        <f>"Q"&amp;ROUNDUP(MONTH(Sales_Data[[#This Row],[Order_Date]])/3,0)</f>
        <v>Q4</v>
      </c>
      <c r="V393" t="s">
        <v>32</v>
      </c>
      <c r="W393" t="s">
        <v>65</v>
      </c>
      <c r="X393" t="s">
        <v>45</v>
      </c>
      <c r="Y393">
        <v>5</v>
      </c>
      <c r="Z393">
        <v>7</v>
      </c>
      <c r="AA393">
        <v>5</v>
      </c>
      <c r="AB393" t="s">
        <v>35</v>
      </c>
      <c r="AC393" t="s">
        <v>36</v>
      </c>
      <c r="AD393">
        <v>2025</v>
      </c>
    </row>
    <row r="394" spans="1:30" x14ac:dyDescent="0.45">
      <c r="A394" t="s">
        <v>874</v>
      </c>
      <c r="B394" t="s">
        <v>875</v>
      </c>
      <c r="C394" t="str">
        <f>_xlfn.XLOOKUP(Sales_Data[[#This Row],[Product_ID]],Product_Master[Product_ID],Product_Master[Product],"Not Found")</f>
        <v>French Doors</v>
      </c>
      <c r="D394" s="3">
        <v>45879</v>
      </c>
      <c r="E394" t="s">
        <v>25</v>
      </c>
      <c r="F394" t="s">
        <v>26</v>
      </c>
      <c r="G394" t="s">
        <v>61</v>
      </c>
      <c r="H394" t="s">
        <v>71</v>
      </c>
      <c r="I394" t="s">
        <v>84</v>
      </c>
      <c r="J394" t="s">
        <v>85</v>
      </c>
      <c r="K394" t="s">
        <v>43</v>
      </c>
      <c r="L394">
        <v>2</v>
      </c>
      <c r="M394">
        <v>39944</v>
      </c>
      <c r="N394">
        <v>0.05</v>
      </c>
      <c r="O394">
        <v>79888</v>
      </c>
      <c r="P394">
        <v>3994.4</v>
      </c>
      <c r="Q394">
        <v>75893.600000000006</v>
      </c>
      <c r="R394">
        <f>YEAR(Sales_Data[[#This Row],[Order_Date]])</f>
        <v>2025</v>
      </c>
      <c r="S394" t="str">
        <f>TEXT(Sales_Data[[#This Row],[Order_Date]],"mmmm")</f>
        <v>August</v>
      </c>
      <c r="T394">
        <f t="shared" si="6"/>
        <v>8</v>
      </c>
      <c r="U394" t="str">
        <f>"Q"&amp;ROUNDUP(MONTH(Sales_Data[[#This Row],[Order_Date]])/3,0)</f>
        <v>Q3</v>
      </c>
      <c r="V394" t="s">
        <v>122</v>
      </c>
      <c r="W394" t="s">
        <v>33</v>
      </c>
      <c r="X394" t="s">
        <v>66</v>
      </c>
      <c r="Y394">
        <v>6</v>
      </c>
      <c r="Z394">
        <v>30</v>
      </c>
      <c r="AA394">
        <v>5</v>
      </c>
      <c r="AB394" t="s">
        <v>123</v>
      </c>
      <c r="AC394" t="s">
        <v>90</v>
      </c>
      <c r="AD394">
        <v>2025</v>
      </c>
    </row>
    <row r="395" spans="1:30" x14ac:dyDescent="0.45">
      <c r="A395" t="s">
        <v>876</v>
      </c>
      <c r="B395" t="s">
        <v>877</v>
      </c>
      <c r="C395" t="str">
        <f>_xlfn.XLOOKUP(Sales_Data[[#This Row],[Product_ID]],Product_Master[Product_ID],Product_Master[Product],"Not Found")</f>
        <v>Sliding Doors</v>
      </c>
      <c r="D395" s="3">
        <v>45782</v>
      </c>
      <c r="E395" t="s">
        <v>25</v>
      </c>
      <c r="F395" t="s">
        <v>70</v>
      </c>
      <c r="G395" t="s">
        <v>82</v>
      </c>
      <c r="H395" t="s">
        <v>51</v>
      </c>
      <c r="I395" t="s">
        <v>101</v>
      </c>
      <c r="J395" t="s">
        <v>102</v>
      </c>
      <c r="K395" t="s">
        <v>43</v>
      </c>
      <c r="L395">
        <v>4</v>
      </c>
      <c r="M395">
        <v>39403</v>
      </c>
      <c r="N395">
        <v>0.1</v>
      </c>
      <c r="O395">
        <v>157612</v>
      </c>
      <c r="P395">
        <v>15761.2</v>
      </c>
      <c r="Q395">
        <v>141850.79999999999</v>
      </c>
      <c r="R395">
        <f>YEAR(Sales_Data[[#This Row],[Order_Date]])</f>
        <v>2025</v>
      </c>
      <c r="S395" t="str">
        <f>TEXT(Sales_Data[[#This Row],[Order_Date]],"mmmm")</f>
        <v>May</v>
      </c>
      <c r="T395">
        <f t="shared" si="6"/>
        <v>5</v>
      </c>
      <c r="U395" t="str">
        <f>"Q"&amp;ROUNDUP(MONTH(Sales_Data[[#This Row],[Order_Date]])/3,0)</f>
        <v>Q2</v>
      </c>
      <c r="V395" t="s">
        <v>32</v>
      </c>
      <c r="W395" t="s">
        <v>65</v>
      </c>
      <c r="X395" t="s">
        <v>45</v>
      </c>
      <c r="Y395">
        <v>5</v>
      </c>
      <c r="Z395">
        <v>16</v>
      </c>
      <c r="AA395">
        <v>5</v>
      </c>
      <c r="AB395" t="s">
        <v>72</v>
      </c>
      <c r="AC395" t="s">
        <v>47</v>
      </c>
      <c r="AD395">
        <v>2025</v>
      </c>
    </row>
    <row r="396" spans="1:30" x14ac:dyDescent="0.45">
      <c r="A396" t="s">
        <v>878</v>
      </c>
      <c r="B396" t="s">
        <v>879</v>
      </c>
      <c r="C396" t="str">
        <f>_xlfn.XLOOKUP(Sales_Data[[#This Row],[Product_ID]],Product_Master[Product_ID],Product_Master[Product],"Not Found")</f>
        <v>Casement Windows</v>
      </c>
      <c r="D396" s="3">
        <v>45825</v>
      </c>
      <c r="E396" t="s">
        <v>59</v>
      </c>
      <c r="F396" t="s">
        <v>26</v>
      </c>
      <c r="G396" t="s">
        <v>116</v>
      </c>
      <c r="H396" t="s">
        <v>112</v>
      </c>
      <c r="I396" t="s">
        <v>75</v>
      </c>
      <c r="J396" t="s">
        <v>76</v>
      </c>
      <c r="K396" t="s">
        <v>31</v>
      </c>
      <c r="L396">
        <v>6</v>
      </c>
      <c r="M396">
        <v>23584</v>
      </c>
      <c r="N396">
        <v>0.15</v>
      </c>
      <c r="O396">
        <v>141504</v>
      </c>
      <c r="P396">
        <v>21225.599999999999</v>
      </c>
      <c r="Q396">
        <v>120278.39999999999</v>
      </c>
      <c r="R396">
        <f>YEAR(Sales_Data[[#This Row],[Order_Date]])</f>
        <v>2025</v>
      </c>
      <c r="S396" t="str">
        <f>TEXT(Sales_Data[[#This Row],[Order_Date]],"mmmm")</f>
        <v>June</v>
      </c>
      <c r="T396">
        <f t="shared" si="6"/>
        <v>6</v>
      </c>
      <c r="U396" t="str">
        <f>"Q"&amp;ROUNDUP(MONTH(Sales_Data[[#This Row],[Order_Date]])/3,0)</f>
        <v>Q2</v>
      </c>
      <c r="V396" t="s">
        <v>64</v>
      </c>
      <c r="W396" t="s">
        <v>33</v>
      </c>
      <c r="X396" t="s">
        <v>45</v>
      </c>
      <c r="Y396">
        <v>4</v>
      </c>
      <c r="Z396">
        <v>26</v>
      </c>
      <c r="AA396">
        <v>3</v>
      </c>
      <c r="AB396" t="s">
        <v>46</v>
      </c>
      <c r="AC396" t="s">
        <v>47</v>
      </c>
      <c r="AD396">
        <v>2025</v>
      </c>
    </row>
    <row r="397" spans="1:30" x14ac:dyDescent="0.45">
      <c r="A397" t="s">
        <v>880</v>
      </c>
      <c r="B397" t="s">
        <v>881</v>
      </c>
      <c r="C397" t="str">
        <f>_xlfn.XLOOKUP(Sales_Data[[#This Row],[Product_ID]],Product_Master[Product_ID],Product_Master[Product],"Not Found")</f>
        <v>Sliding Doors</v>
      </c>
      <c r="D397" s="3">
        <v>45865</v>
      </c>
      <c r="E397" t="s">
        <v>25</v>
      </c>
      <c r="F397" t="s">
        <v>26</v>
      </c>
      <c r="G397" t="s">
        <v>82</v>
      </c>
      <c r="H397" t="s">
        <v>51</v>
      </c>
      <c r="I397" t="s">
        <v>101</v>
      </c>
      <c r="J397" t="s">
        <v>102</v>
      </c>
      <c r="K397" t="s">
        <v>43</v>
      </c>
      <c r="L397">
        <v>3</v>
      </c>
      <c r="M397">
        <v>35949</v>
      </c>
      <c r="N397">
        <v>0.1</v>
      </c>
      <c r="O397">
        <v>107847</v>
      </c>
      <c r="P397">
        <v>10784.7</v>
      </c>
      <c r="Q397">
        <v>97062.3</v>
      </c>
      <c r="R397">
        <f>YEAR(Sales_Data[[#This Row],[Order_Date]])</f>
        <v>2025</v>
      </c>
      <c r="S397" t="str">
        <f>TEXT(Sales_Data[[#This Row],[Order_Date]],"mmmm")</f>
        <v>July</v>
      </c>
      <c r="T397">
        <f t="shared" si="6"/>
        <v>7</v>
      </c>
      <c r="U397" t="str">
        <f>"Q"&amp;ROUNDUP(MONTH(Sales_Data[[#This Row],[Order_Date]])/3,0)</f>
        <v>Q3</v>
      </c>
      <c r="V397" t="s">
        <v>44</v>
      </c>
      <c r="W397" t="s">
        <v>33</v>
      </c>
      <c r="X397" t="s">
        <v>45</v>
      </c>
      <c r="Y397">
        <v>7</v>
      </c>
      <c r="Z397">
        <v>29</v>
      </c>
      <c r="AA397">
        <v>5</v>
      </c>
      <c r="AB397" t="s">
        <v>155</v>
      </c>
      <c r="AC397" t="s">
        <v>90</v>
      </c>
      <c r="AD397">
        <v>2025</v>
      </c>
    </row>
    <row r="398" spans="1:30" x14ac:dyDescent="0.45">
      <c r="A398" t="s">
        <v>882</v>
      </c>
      <c r="B398" t="s">
        <v>883</v>
      </c>
      <c r="C398" t="str">
        <f>_xlfn.XLOOKUP(Sales_Data[[#This Row],[Product_ID]],Product_Master[Product_ID],Product_Master[Product],"Not Found")</f>
        <v>uPVC Doors</v>
      </c>
      <c r="D398" s="3">
        <v>45719</v>
      </c>
      <c r="E398" t="s">
        <v>59</v>
      </c>
      <c r="F398" t="s">
        <v>26</v>
      </c>
      <c r="G398" t="s">
        <v>111</v>
      </c>
      <c r="H398" t="s">
        <v>28</v>
      </c>
      <c r="I398" t="s">
        <v>107</v>
      </c>
      <c r="J398" t="s">
        <v>108</v>
      </c>
      <c r="K398" t="s">
        <v>43</v>
      </c>
      <c r="L398">
        <v>6</v>
      </c>
      <c r="M398">
        <v>31645</v>
      </c>
      <c r="N398">
        <v>0.15</v>
      </c>
      <c r="O398">
        <v>189870</v>
      </c>
      <c r="P398">
        <v>28480.5</v>
      </c>
      <c r="Q398">
        <v>161389.5</v>
      </c>
      <c r="R398">
        <f>YEAR(Sales_Data[[#This Row],[Order_Date]])</f>
        <v>2025</v>
      </c>
      <c r="S398" t="str">
        <f>TEXT(Sales_Data[[#This Row],[Order_Date]],"mmmm")</f>
        <v>March</v>
      </c>
      <c r="T398">
        <f t="shared" si="6"/>
        <v>3</v>
      </c>
      <c r="U398" t="str">
        <f>"Q"&amp;ROUNDUP(MONTH(Sales_Data[[#This Row],[Order_Date]])/3,0)</f>
        <v>Q1</v>
      </c>
      <c r="V398" t="s">
        <v>32</v>
      </c>
      <c r="W398" t="s">
        <v>54</v>
      </c>
      <c r="X398" t="s">
        <v>45</v>
      </c>
      <c r="Y398">
        <v>2</v>
      </c>
      <c r="Z398">
        <v>25</v>
      </c>
      <c r="AA398">
        <v>5</v>
      </c>
      <c r="AB398" t="s">
        <v>130</v>
      </c>
      <c r="AC398" t="s">
        <v>56</v>
      </c>
      <c r="AD398">
        <v>2025</v>
      </c>
    </row>
    <row r="399" spans="1:30" x14ac:dyDescent="0.45">
      <c r="A399" t="s">
        <v>884</v>
      </c>
      <c r="B399" t="s">
        <v>885</v>
      </c>
      <c r="C399" t="str">
        <f>_xlfn.XLOOKUP(Sales_Data[[#This Row],[Product_ID]],Product_Master[Product_ID],Product_Master[Product],"Not Found")</f>
        <v>uPVC Windows</v>
      </c>
      <c r="D399" s="3">
        <v>45737</v>
      </c>
      <c r="E399" t="s">
        <v>25</v>
      </c>
      <c r="F399" t="s">
        <v>60</v>
      </c>
      <c r="G399" t="s">
        <v>116</v>
      </c>
      <c r="H399" t="s">
        <v>83</v>
      </c>
      <c r="I399" t="s">
        <v>62</v>
      </c>
      <c r="J399" t="s">
        <v>63</v>
      </c>
      <c r="K399" t="s">
        <v>31</v>
      </c>
      <c r="L399">
        <v>6</v>
      </c>
      <c r="M399">
        <v>19017</v>
      </c>
      <c r="N399">
        <v>0.1</v>
      </c>
      <c r="O399">
        <v>114102</v>
      </c>
      <c r="P399">
        <v>11410.2</v>
      </c>
      <c r="Q399">
        <v>102691.8</v>
      </c>
      <c r="R399">
        <f>YEAR(Sales_Data[[#This Row],[Order_Date]])</f>
        <v>2025</v>
      </c>
      <c r="S399" t="str">
        <f>TEXT(Sales_Data[[#This Row],[Order_Date]],"mmmm")</f>
        <v>March</v>
      </c>
      <c r="T399">
        <f t="shared" si="6"/>
        <v>3</v>
      </c>
      <c r="U399" t="str">
        <f>"Q"&amp;ROUNDUP(MONTH(Sales_Data[[#This Row],[Order_Date]])/3,0)</f>
        <v>Q1</v>
      </c>
      <c r="V399" t="s">
        <v>98</v>
      </c>
      <c r="W399" t="s">
        <v>33</v>
      </c>
      <c r="X399" t="s">
        <v>45</v>
      </c>
      <c r="Y399">
        <v>5</v>
      </c>
      <c r="Z399">
        <v>24</v>
      </c>
      <c r="AA399">
        <v>5</v>
      </c>
      <c r="AB399" t="s">
        <v>130</v>
      </c>
      <c r="AC399" t="s">
        <v>56</v>
      </c>
      <c r="AD399">
        <v>2025</v>
      </c>
    </row>
    <row r="400" spans="1:30" x14ac:dyDescent="0.45">
      <c r="A400" t="s">
        <v>886</v>
      </c>
      <c r="B400" t="s">
        <v>887</v>
      </c>
      <c r="C400" t="str">
        <f>_xlfn.XLOOKUP(Sales_Data[[#This Row],[Product_ID]],Product_Master[Product_ID],Product_Master[Product],"Not Found")</f>
        <v>Sliding Doors</v>
      </c>
      <c r="D400" s="3">
        <v>45821</v>
      </c>
      <c r="E400" t="s">
        <v>25</v>
      </c>
      <c r="F400" t="s">
        <v>70</v>
      </c>
      <c r="G400" t="s">
        <v>82</v>
      </c>
      <c r="H400" t="s">
        <v>28</v>
      </c>
      <c r="I400" t="s">
        <v>101</v>
      </c>
      <c r="J400" t="s">
        <v>102</v>
      </c>
      <c r="K400" t="s">
        <v>43</v>
      </c>
      <c r="L400">
        <v>6</v>
      </c>
      <c r="M400">
        <v>34630</v>
      </c>
      <c r="N400">
        <v>0.05</v>
      </c>
      <c r="O400">
        <v>207780</v>
      </c>
      <c r="P400">
        <v>10389</v>
      </c>
      <c r="Q400">
        <v>197391</v>
      </c>
      <c r="R400">
        <f>YEAR(Sales_Data[[#This Row],[Order_Date]])</f>
        <v>2025</v>
      </c>
      <c r="S400" t="str">
        <f>TEXT(Sales_Data[[#This Row],[Order_Date]],"mmmm")</f>
        <v>June</v>
      </c>
      <c r="T400">
        <f t="shared" si="6"/>
        <v>6</v>
      </c>
      <c r="U400" t="str">
        <f>"Q"&amp;ROUNDUP(MONTH(Sales_Data[[#This Row],[Order_Date]])/3,0)</f>
        <v>Q2</v>
      </c>
      <c r="V400" t="s">
        <v>32</v>
      </c>
      <c r="W400" t="s">
        <v>54</v>
      </c>
      <c r="X400" t="s">
        <v>66</v>
      </c>
      <c r="Y400">
        <v>6</v>
      </c>
      <c r="Z400">
        <v>11</v>
      </c>
      <c r="AA400">
        <v>5</v>
      </c>
      <c r="AB400" t="s">
        <v>46</v>
      </c>
      <c r="AC400" t="s">
        <v>47</v>
      </c>
      <c r="AD400">
        <v>2025</v>
      </c>
    </row>
    <row r="401" spans="1:30" x14ac:dyDescent="0.45">
      <c r="A401" t="s">
        <v>888</v>
      </c>
      <c r="B401" t="s">
        <v>889</v>
      </c>
      <c r="C401" t="str">
        <f>_xlfn.XLOOKUP(Sales_Data[[#This Row],[Product_ID]],Product_Master[Product_ID],Product_Master[Product],"Not Found")</f>
        <v>Bi-Fold Doors</v>
      </c>
      <c r="D401" s="3">
        <v>45694</v>
      </c>
      <c r="E401" t="s">
        <v>59</v>
      </c>
      <c r="F401" t="s">
        <v>39</v>
      </c>
      <c r="G401" t="s">
        <v>50</v>
      </c>
      <c r="H401" t="s">
        <v>119</v>
      </c>
      <c r="I401" t="s">
        <v>41</v>
      </c>
      <c r="J401" t="s">
        <v>42</v>
      </c>
      <c r="K401" t="s">
        <v>43</v>
      </c>
      <c r="L401">
        <v>5</v>
      </c>
      <c r="M401">
        <v>50414</v>
      </c>
      <c r="N401">
        <v>0</v>
      </c>
      <c r="O401">
        <v>252070</v>
      </c>
      <c r="P401">
        <v>0</v>
      </c>
      <c r="Q401">
        <v>252070</v>
      </c>
      <c r="R401">
        <f>YEAR(Sales_Data[[#This Row],[Order_Date]])</f>
        <v>2025</v>
      </c>
      <c r="S401" t="str">
        <f>TEXT(Sales_Data[[#This Row],[Order_Date]],"mmmm")</f>
        <v>February</v>
      </c>
      <c r="T401">
        <f t="shared" si="6"/>
        <v>2</v>
      </c>
      <c r="U401" t="str">
        <f>"Q"&amp;ROUNDUP(MONTH(Sales_Data[[#This Row],[Order_Date]])/3,0)</f>
        <v>Q1</v>
      </c>
      <c r="V401" t="s">
        <v>122</v>
      </c>
      <c r="W401" t="s">
        <v>65</v>
      </c>
      <c r="X401" t="s">
        <v>66</v>
      </c>
      <c r="Y401">
        <v>2</v>
      </c>
      <c r="Z401">
        <v>24</v>
      </c>
      <c r="AA401">
        <v>5</v>
      </c>
      <c r="AB401" t="s">
        <v>55</v>
      </c>
      <c r="AC401" t="s">
        <v>56</v>
      </c>
      <c r="AD401">
        <v>2025</v>
      </c>
    </row>
    <row r="402" spans="1:30" x14ac:dyDescent="0.45">
      <c r="A402" t="s">
        <v>890</v>
      </c>
      <c r="B402" t="s">
        <v>891</v>
      </c>
      <c r="C402" t="str">
        <f>_xlfn.XLOOKUP(Sales_Data[[#This Row],[Product_ID]],Product_Master[Product_ID],Product_Master[Product],"Not Found")</f>
        <v>Soundproof Windows</v>
      </c>
      <c r="D402" s="3">
        <v>45839</v>
      </c>
      <c r="E402" t="s">
        <v>59</v>
      </c>
      <c r="F402" t="s">
        <v>70</v>
      </c>
      <c r="G402" t="s">
        <v>40</v>
      </c>
      <c r="H402" t="s">
        <v>88</v>
      </c>
      <c r="I402" t="s">
        <v>29</v>
      </c>
      <c r="J402" t="s">
        <v>30</v>
      </c>
      <c r="K402" t="s">
        <v>31</v>
      </c>
      <c r="L402">
        <v>6</v>
      </c>
      <c r="M402">
        <v>55147</v>
      </c>
      <c r="N402">
        <v>0.05</v>
      </c>
      <c r="O402">
        <v>330882</v>
      </c>
      <c r="P402">
        <v>16544.099999999999</v>
      </c>
      <c r="Q402">
        <v>314337.90000000002</v>
      </c>
      <c r="R402">
        <f>YEAR(Sales_Data[[#This Row],[Order_Date]])</f>
        <v>2025</v>
      </c>
      <c r="S402" t="str">
        <f>TEXT(Sales_Data[[#This Row],[Order_Date]],"mmmm")</f>
        <v>July</v>
      </c>
      <c r="T402">
        <f t="shared" si="6"/>
        <v>7</v>
      </c>
      <c r="U402" t="str">
        <f>"Q"&amp;ROUNDUP(MONTH(Sales_Data[[#This Row],[Order_Date]])/3,0)</f>
        <v>Q3</v>
      </c>
      <c r="V402" t="s">
        <v>32</v>
      </c>
      <c r="W402" t="s">
        <v>33</v>
      </c>
      <c r="X402" t="s">
        <v>45</v>
      </c>
      <c r="Y402">
        <v>2</v>
      </c>
      <c r="Z402">
        <v>20</v>
      </c>
      <c r="AA402">
        <v>4</v>
      </c>
      <c r="AB402" t="s">
        <v>155</v>
      </c>
      <c r="AC402" t="s">
        <v>90</v>
      </c>
      <c r="AD402">
        <v>2025</v>
      </c>
    </row>
    <row r="403" spans="1:30" x14ac:dyDescent="0.45">
      <c r="A403" t="s">
        <v>892</v>
      </c>
      <c r="B403" t="s">
        <v>893</v>
      </c>
      <c r="C403" t="str">
        <f>_xlfn.XLOOKUP(Sales_Data[[#This Row],[Product_ID]],Product_Master[Product_ID],Product_Master[Product],"Not Found")</f>
        <v>Casement Windows</v>
      </c>
      <c r="D403" s="3">
        <v>45849</v>
      </c>
      <c r="E403" t="s">
        <v>59</v>
      </c>
      <c r="F403" t="s">
        <v>26</v>
      </c>
      <c r="G403" t="s">
        <v>82</v>
      </c>
      <c r="H403" t="s">
        <v>88</v>
      </c>
      <c r="I403" t="s">
        <v>75</v>
      </c>
      <c r="J403" t="s">
        <v>76</v>
      </c>
      <c r="K403" t="s">
        <v>31</v>
      </c>
      <c r="L403">
        <v>3</v>
      </c>
      <c r="M403">
        <v>27981</v>
      </c>
      <c r="N403">
        <v>0</v>
      </c>
      <c r="O403">
        <v>83943</v>
      </c>
      <c r="P403">
        <v>0</v>
      </c>
      <c r="Q403">
        <v>83943</v>
      </c>
      <c r="R403">
        <f>YEAR(Sales_Data[[#This Row],[Order_Date]])</f>
        <v>2025</v>
      </c>
      <c r="S403" t="str">
        <f>TEXT(Sales_Data[[#This Row],[Order_Date]],"mmmm")</f>
        <v>July</v>
      </c>
      <c r="T403">
        <f t="shared" si="6"/>
        <v>7</v>
      </c>
      <c r="U403" t="str">
        <f>"Q"&amp;ROUNDUP(MONTH(Sales_Data[[#This Row],[Order_Date]])/3,0)</f>
        <v>Q3</v>
      </c>
      <c r="V403" t="s">
        <v>122</v>
      </c>
      <c r="W403" t="s">
        <v>33</v>
      </c>
      <c r="X403" t="s">
        <v>45</v>
      </c>
      <c r="Y403">
        <v>1</v>
      </c>
      <c r="Z403">
        <v>28</v>
      </c>
      <c r="AA403">
        <v>5</v>
      </c>
      <c r="AB403" t="s">
        <v>155</v>
      </c>
      <c r="AC403" t="s">
        <v>90</v>
      </c>
      <c r="AD403">
        <v>2025</v>
      </c>
    </row>
    <row r="404" spans="1:30" x14ac:dyDescent="0.45">
      <c r="A404" t="s">
        <v>894</v>
      </c>
      <c r="B404" t="s">
        <v>895</v>
      </c>
      <c r="C404" t="str">
        <f>_xlfn.XLOOKUP(Sales_Data[[#This Row],[Product_ID]],Product_Master[Product_ID],Product_Master[Product],"Not Found")</f>
        <v>Casement Windows</v>
      </c>
      <c r="D404" s="3">
        <v>46004</v>
      </c>
      <c r="E404" t="s">
        <v>59</v>
      </c>
      <c r="F404" t="s">
        <v>60</v>
      </c>
      <c r="G404" t="s">
        <v>111</v>
      </c>
      <c r="H404" t="s">
        <v>83</v>
      </c>
      <c r="I404" t="s">
        <v>75</v>
      </c>
      <c r="J404" t="s">
        <v>76</v>
      </c>
      <c r="K404" t="s">
        <v>31</v>
      </c>
      <c r="L404">
        <v>4</v>
      </c>
      <c r="M404">
        <v>24288</v>
      </c>
      <c r="N404">
        <v>0.15</v>
      </c>
      <c r="O404">
        <v>97152</v>
      </c>
      <c r="P404">
        <v>14572.8</v>
      </c>
      <c r="Q404">
        <v>82579.199999999997</v>
      </c>
      <c r="R404">
        <f>YEAR(Sales_Data[[#This Row],[Order_Date]])</f>
        <v>2025</v>
      </c>
      <c r="S404" t="str">
        <f>TEXT(Sales_Data[[#This Row],[Order_Date]],"mmmm")</f>
        <v>December</v>
      </c>
      <c r="T404">
        <f t="shared" si="6"/>
        <v>12</v>
      </c>
      <c r="U404" t="str">
        <f>"Q"&amp;ROUNDUP(MONTH(Sales_Data[[#This Row],[Order_Date]])/3,0)</f>
        <v>Q4</v>
      </c>
      <c r="V404" t="s">
        <v>32</v>
      </c>
      <c r="W404" t="s">
        <v>65</v>
      </c>
      <c r="X404" t="s">
        <v>66</v>
      </c>
      <c r="Y404">
        <v>5</v>
      </c>
      <c r="Z404">
        <v>5</v>
      </c>
      <c r="AA404">
        <v>5</v>
      </c>
      <c r="AB404" t="s">
        <v>113</v>
      </c>
      <c r="AC404" t="s">
        <v>36</v>
      </c>
      <c r="AD404">
        <v>2025</v>
      </c>
    </row>
    <row r="405" spans="1:30" x14ac:dyDescent="0.45">
      <c r="A405" t="s">
        <v>896</v>
      </c>
      <c r="B405" t="s">
        <v>897</v>
      </c>
      <c r="C405" t="str">
        <f>_xlfn.XLOOKUP(Sales_Data[[#This Row],[Product_ID]],Product_Master[Product_ID],Product_Master[Product],"Not Found")</f>
        <v>Casement Windows</v>
      </c>
      <c r="D405" s="3">
        <v>45717</v>
      </c>
      <c r="E405" t="s">
        <v>59</v>
      </c>
      <c r="F405" t="s">
        <v>26</v>
      </c>
      <c r="G405" t="s">
        <v>40</v>
      </c>
      <c r="H405" t="s">
        <v>88</v>
      </c>
      <c r="I405" t="s">
        <v>75</v>
      </c>
      <c r="J405" t="s">
        <v>76</v>
      </c>
      <c r="K405" t="s">
        <v>31</v>
      </c>
      <c r="L405">
        <v>6</v>
      </c>
      <c r="M405">
        <v>29693</v>
      </c>
      <c r="N405">
        <v>0.2</v>
      </c>
      <c r="O405">
        <v>178158</v>
      </c>
      <c r="P405">
        <v>35631.599999999999</v>
      </c>
      <c r="Q405">
        <v>142526.39999999999</v>
      </c>
      <c r="R405">
        <f>YEAR(Sales_Data[[#This Row],[Order_Date]])</f>
        <v>2025</v>
      </c>
      <c r="S405" t="str">
        <f>TEXT(Sales_Data[[#This Row],[Order_Date]],"mmmm")</f>
        <v>March</v>
      </c>
      <c r="T405">
        <f t="shared" si="6"/>
        <v>3</v>
      </c>
      <c r="U405" t="str">
        <f>"Q"&amp;ROUNDUP(MONTH(Sales_Data[[#This Row],[Order_Date]])/3,0)</f>
        <v>Q1</v>
      </c>
      <c r="V405" t="s">
        <v>64</v>
      </c>
      <c r="W405" t="s">
        <v>33</v>
      </c>
      <c r="X405" t="s">
        <v>45</v>
      </c>
      <c r="Y405">
        <v>1</v>
      </c>
      <c r="Z405">
        <v>25</v>
      </c>
      <c r="AA405">
        <v>5</v>
      </c>
      <c r="AB405" t="s">
        <v>130</v>
      </c>
      <c r="AC405" t="s">
        <v>56</v>
      </c>
      <c r="AD405">
        <v>2025</v>
      </c>
    </row>
    <row r="406" spans="1:30" x14ac:dyDescent="0.45">
      <c r="A406" t="s">
        <v>898</v>
      </c>
      <c r="B406" t="s">
        <v>899</v>
      </c>
      <c r="C406" t="str">
        <f>_xlfn.XLOOKUP(Sales_Data[[#This Row],[Product_ID]],Product_Master[Product_ID],Product_Master[Product],"Not Found")</f>
        <v>Casement Windows</v>
      </c>
      <c r="D406" s="3">
        <v>45682</v>
      </c>
      <c r="E406" t="s">
        <v>59</v>
      </c>
      <c r="F406" t="s">
        <v>39</v>
      </c>
      <c r="G406" t="s">
        <v>111</v>
      </c>
      <c r="H406" t="s">
        <v>88</v>
      </c>
      <c r="I406" t="s">
        <v>75</v>
      </c>
      <c r="J406" t="s">
        <v>76</v>
      </c>
      <c r="K406" t="s">
        <v>31</v>
      </c>
      <c r="L406">
        <v>5</v>
      </c>
      <c r="M406">
        <v>25935</v>
      </c>
      <c r="N406">
        <v>0.05</v>
      </c>
      <c r="O406">
        <v>129675</v>
      </c>
      <c r="P406">
        <v>6483.75</v>
      </c>
      <c r="Q406">
        <v>123191.25</v>
      </c>
      <c r="R406">
        <f>YEAR(Sales_Data[[#This Row],[Order_Date]])</f>
        <v>2025</v>
      </c>
      <c r="S406" t="str">
        <f>TEXT(Sales_Data[[#This Row],[Order_Date]],"mmmm")</f>
        <v>January</v>
      </c>
      <c r="T406">
        <f t="shared" si="6"/>
        <v>1</v>
      </c>
      <c r="U406" t="str">
        <f>"Q"&amp;ROUNDUP(MONTH(Sales_Data[[#This Row],[Order_Date]])/3,0)</f>
        <v>Q1</v>
      </c>
      <c r="V406" t="s">
        <v>32</v>
      </c>
      <c r="W406" t="s">
        <v>33</v>
      </c>
      <c r="X406" t="s">
        <v>93</v>
      </c>
      <c r="Y406">
        <v>2</v>
      </c>
      <c r="Z406">
        <v>16</v>
      </c>
      <c r="AA406">
        <v>5</v>
      </c>
      <c r="AB406" t="s">
        <v>144</v>
      </c>
      <c r="AC406" t="s">
        <v>56</v>
      </c>
      <c r="AD406">
        <v>2025</v>
      </c>
    </row>
    <row r="407" spans="1:30" x14ac:dyDescent="0.45">
      <c r="A407" t="s">
        <v>900</v>
      </c>
      <c r="B407" t="s">
        <v>901</v>
      </c>
      <c r="C407" t="str">
        <f>_xlfn.XLOOKUP(Sales_Data[[#This Row],[Product_ID]],Product_Master[Product_ID],Product_Master[Product],"Not Found")</f>
        <v>uPVC Windows</v>
      </c>
      <c r="D407" s="3">
        <v>45934</v>
      </c>
      <c r="E407" t="s">
        <v>25</v>
      </c>
      <c r="F407" t="s">
        <v>70</v>
      </c>
      <c r="G407" t="s">
        <v>50</v>
      </c>
      <c r="H407" t="s">
        <v>119</v>
      </c>
      <c r="I407" t="s">
        <v>62</v>
      </c>
      <c r="J407" t="s">
        <v>63</v>
      </c>
      <c r="K407" t="s">
        <v>31</v>
      </c>
      <c r="L407">
        <v>6</v>
      </c>
      <c r="M407">
        <v>20667</v>
      </c>
      <c r="N407">
        <v>0.1</v>
      </c>
      <c r="O407">
        <v>124002</v>
      </c>
      <c r="P407">
        <v>12400.2</v>
      </c>
      <c r="Q407">
        <v>111601.8</v>
      </c>
      <c r="R407">
        <f>YEAR(Sales_Data[[#This Row],[Order_Date]])</f>
        <v>2025</v>
      </c>
      <c r="S407" t="str">
        <f>TEXT(Sales_Data[[#This Row],[Order_Date]],"mmmm")</f>
        <v>October</v>
      </c>
      <c r="T407">
        <f t="shared" si="6"/>
        <v>10</v>
      </c>
      <c r="U407" t="str">
        <f>"Q"&amp;ROUNDUP(MONTH(Sales_Data[[#This Row],[Order_Date]])/3,0)</f>
        <v>Q4</v>
      </c>
      <c r="V407" t="s">
        <v>32</v>
      </c>
      <c r="W407" t="s">
        <v>65</v>
      </c>
      <c r="X407" t="s">
        <v>45</v>
      </c>
      <c r="Y407">
        <v>1</v>
      </c>
      <c r="Z407">
        <v>25</v>
      </c>
      <c r="AA407">
        <v>5</v>
      </c>
      <c r="AB407" t="s">
        <v>35</v>
      </c>
      <c r="AC407" t="s">
        <v>36</v>
      </c>
      <c r="AD407">
        <v>2025</v>
      </c>
    </row>
    <row r="408" spans="1:30" x14ac:dyDescent="0.45">
      <c r="A408" t="s">
        <v>902</v>
      </c>
      <c r="B408" t="s">
        <v>903</v>
      </c>
      <c r="C408" t="str">
        <f>_xlfn.XLOOKUP(Sales_Data[[#This Row],[Product_ID]],Product_Master[Product_ID],Product_Master[Product],"Not Found")</f>
        <v>Aluminium Windows</v>
      </c>
      <c r="D408" s="3">
        <v>45806</v>
      </c>
      <c r="E408" t="s">
        <v>59</v>
      </c>
      <c r="F408" t="s">
        <v>39</v>
      </c>
      <c r="G408" t="s">
        <v>50</v>
      </c>
      <c r="H408" t="s">
        <v>83</v>
      </c>
      <c r="I408" t="s">
        <v>52</v>
      </c>
      <c r="J408" t="s">
        <v>53</v>
      </c>
      <c r="K408" t="s">
        <v>31</v>
      </c>
      <c r="L408">
        <v>6</v>
      </c>
      <c r="M408">
        <v>23526</v>
      </c>
      <c r="N408">
        <v>0</v>
      </c>
      <c r="O408">
        <v>141156</v>
      </c>
      <c r="P408">
        <v>0</v>
      </c>
      <c r="Q408">
        <v>141156</v>
      </c>
      <c r="R408">
        <f>YEAR(Sales_Data[[#This Row],[Order_Date]])</f>
        <v>2025</v>
      </c>
      <c r="S408" t="str">
        <f>TEXT(Sales_Data[[#This Row],[Order_Date]],"mmmm")</f>
        <v>May</v>
      </c>
      <c r="T408">
        <f t="shared" si="6"/>
        <v>5</v>
      </c>
      <c r="U408" t="str">
        <f>"Q"&amp;ROUNDUP(MONTH(Sales_Data[[#This Row],[Order_Date]])/3,0)</f>
        <v>Q2</v>
      </c>
      <c r="V408" t="s">
        <v>32</v>
      </c>
      <c r="W408" t="s">
        <v>65</v>
      </c>
      <c r="X408" t="s">
        <v>66</v>
      </c>
      <c r="Y408">
        <v>7</v>
      </c>
      <c r="Z408">
        <v>21</v>
      </c>
      <c r="AA408">
        <v>5</v>
      </c>
      <c r="AB408" t="s">
        <v>72</v>
      </c>
      <c r="AC408" t="s">
        <v>47</v>
      </c>
      <c r="AD408">
        <v>2025</v>
      </c>
    </row>
    <row r="409" spans="1:30" x14ac:dyDescent="0.45">
      <c r="A409" t="s">
        <v>904</v>
      </c>
      <c r="B409" t="s">
        <v>905</v>
      </c>
      <c r="C409" t="str">
        <f>_xlfn.XLOOKUP(Sales_Data[[#This Row],[Product_ID]],Product_Master[Product_ID],Product_Master[Product],"Not Found")</f>
        <v>uPVC Windows</v>
      </c>
      <c r="D409" s="3">
        <v>45722</v>
      </c>
      <c r="E409" t="s">
        <v>25</v>
      </c>
      <c r="F409" t="s">
        <v>70</v>
      </c>
      <c r="G409" t="s">
        <v>27</v>
      </c>
      <c r="H409" t="s">
        <v>51</v>
      </c>
      <c r="I409" t="s">
        <v>62</v>
      </c>
      <c r="J409" t="s">
        <v>63</v>
      </c>
      <c r="K409" t="s">
        <v>31</v>
      </c>
      <c r="L409">
        <v>3</v>
      </c>
      <c r="M409">
        <v>16206</v>
      </c>
      <c r="N409">
        <v>0.1</v>
      </c>
      <c r="O409">
        <v>48618</v>
      </c>
      <c r="P409">
        <v>4861.8</v>
      </c>
      <c r="Q409">
        <v>43756.2</v>
      </c>
      <c r="R409">
        <f>YEAR(Sales_Data[[#This Row],[Order_Date]])</f>
        <v>2025</v>
      </c>
      <c r="S409" t="str">
        <f>TEXT(Sales_Data[[#This Row],[Order_Date]],"mmmm")</f>
        <v>March</v>
      </c>
      <c r="T409">
        <f t="shared" si="6"/>
        <v>3</v>
      </c>
      <c r="U409" t="str">
        <f>"Q"&amp;ROUNDUP(MONTH(Sales_Data[[#This Row],[Order_Date]])/3,0)</f>
        <v>Q1</v>
      </c>
      <c r="V409" t="s">
        <v>98</v>
      </c>
      <c r="W409" t="s">
        <v>33</v>
      </c>
      <c r="X409" t="s">
        <v>34</v>
      </c>
      <c r="Y409">
        <v>3</v>
      </c>
      <c r="Z409">
        <v>13</v>
      </c>
      <c r="AA409">
        <v>4</v>
      </c>
      <c r="AB409" t="s">
        <v>130</v>
      </c>
      <c r="AC409" t="s">
        <v>56</v>
      </c>
      <c r="AD409">
        <v>2025</v>
      </c>
    </row>
    <row r="410" spans="1:30" x14ac:dyDescent="0.45">
      <c r="A410" t="s">
        <v>906</v>
      </c>
      <c r="B410" t="s">
        <v>907</v>
      </c>
      <c r="C410" t="str">
        <f>_xlfn.XLOOKUP(Sales_Data[[#This Row],[Product_ID]],Product_Master[Product_ID],Product_Master[Product],"Not Found")</f>
        <v>Aluminium Windows</v>
      </c>
      <c r="D410" s="3">
        <v>45805</v>
      </c>
      <c r="E410" t="s">
        <v>59</v>
      </c>
      <c r="F410" t="s">
        <v>26</v>
      </c>
      <c r="G410" t="s">
        <v>111</v>
      </c>
      <c r="H410" t="s">
        <v>119</v>
      </c>
      <c r="I410" t="s">
        <v>52</v>
      </c>
      <c r="J410" t="s">
        <v>53</v>
      </c>
      <c r="K410" t="s">
        <v>31</v>
      </c>
      <c r="L410">
        <v>1</v>
      </c>
      <c r="M410">
        <v>22099</v>
      </c>
      <c r="N410">
        <v>0.15</v>
      </c>
      <c r="O410">
        <v>22099</v>
      </c>
      <c r="P410">
        <v>3314.85</v>
      </c>
      <c r="Q410">
        <v>18784.150000000001</v>
      </c>
      <c r="R410">
        <f>YEAR(Sales_Data[[#This Row],[Order_Date]])</f>
        <v>2025</v>
      </c>
      <c r="S410" t="str">
        <f>TEXT(Sales_Data[[#This Row],[Order_Date]],"mmmm")</f>
        <v>May</v>
      </c>
      <c r="T410">
        <f t="shared" si="6"/>
        <v>5</v>
      </c>
      <c r="U410" t="str">
        <f>"Q"&amp;ROUNDUP(MONTH(Sales_Data[[#This Row],[Order_Date]])/3,0)</f>
        <v>Q2</v>
      </c>
      <c r="V410" t="s">
        <v>32</v>
      </c>
      <c r="W410" t="s">
        <v>54</v>
      </c>
      <c r="X410" t="s">
        <v>93</v>
      </c>
      <c r="Y410">
        <v>3</v>
      </c>
      <c r="Z410">
        <v>19</v>
      </c>
      <c r="AA410">
        <v>5</v>
      </c>
      <c r="AB410" t="s">
        <v>72</v>
      </c>
      <c r="AC410" t="s">
        <v>47</v>
      </c>
      <c r="AD410">
        <v>2025</v>
      </c>
    </row>
    <row r="411" spans="1:30" x14ac:dyDescent="0.45">
      <c r="A411" t="s">
        <v>908</v>
      </c>
      <c r="B411" t="s">
        <v>909</v>
      </c>
      <c r="C411" t="str">
        <f>_xlfn.XLOOKUP(Sales_Data[[#This Row],[Product_ID]],Product_Master[Product_ID],Product_Master[Product],"Not Found")</f>
        <v>Aluminium Windows</v>
      </c>
      <c r="D411" s="3">
        <v>45703</v>
      </c>
      <c r="E411" t="s">
        <v>25</v>
      </c>
      <c r="F411" t="s">
        <v>70</v>
      </c>
      <c r="G411" t="s">
        <v>111</v>
      </c>
      <c r="H411" t="s">
        <v>119</v>
      </c>
      <c r="I411" t="s">
        <v>52</v>
      </c>
      <c r="J411" t="s">
        <v>53</v>
      </c>
      <c r="K411" t="s">
        <v>31</v>
      </c>
      <c r="L411">
        <v>3</v>
      </c>
      <c r="M411">
        <v>25009</v>
      </c>
      <c r="N411">
        <v>0</v>
      </c>
      <c r="O411">
        <v>75027</v>
      </c>
      <c r="P411">
        <v>0</v>
      </c>
      <c r="Q411">
        <v>75027</v>
      </c>
      <c r="R411">
        <f>YEAR(Sales_Data[[#This Row],[Order_Date]])</f>
        <v>2025</v>
      </c>
      <c r="S411" t="str">
        <f>TEXT(Sales_Data[[#This Row],[Order_Date]],"mmmm")</f>
        <v>February</v>
      </c>
      <c r="T411">
        <f t="shared" si="6"/>
        <v>2</v>
      </c>
      <c r="U411" t="str">
        <f>"Q"&amp;ROUNDUP(MONTH(Sales_Data[[#This Row],[Order_Date]])/3,0)</f>
        <v>Q1</v>
      </c>
      <c r="V411" t="s">
        <v>32</v>
      </c>
      <c r="W411" t="s">
        <v>33</v>
      </c>
      <c r="X411" t="s">
        <v>45</v>
      </c>
      <c r="Y411">
        <v>4</v>
      </c>
      <c r="Z411">
        <v>21</v>
      </c>
      <c r="AA411">
        <v>4</v>
      </c>
      <c r="AB411" t="s">
        <v>55</v>
      </c>
      <c r="AC411" t="s">
        <v>56</v>
      </c>
      <c r="AD411">
        <v>2025</v>
      </c>
    </row>
    <row r="412" spans="1:30" x14ac:dyDescent="0.45">
      <c r="A412" t="s">
        <v>910</v>
      </c>
      <c r="B412" t="s">
        <v>911</v>
      </c>
      <c r="C412" t="str">
        <f>_xlfn.XLOOKUP(Sales_Data[[#This Row],[Product_ID]],Product_Master[Product_ID],Product_Master[Product],"Not Found")</f>
        <v>Casement Windows</v>
      </c>
      <c r="D412" s="3">
        <v>45744</v>
      </c>
      <c r="E412" t="s">
        <v>25</v>
      </c>
      <c r="F412" t="s">
        <v>70</v>
      </c>
      <c r="G412" t="s">
        <v>116</v>
      </c>
      <c r="H412" t="s">
        <v>112</v>
      </c>
      <c r="I412" t="s">
        <v>75</v>
      </c>
      <c r="J412" t="s">
        <v>76</v>
      </c>
      <c r="K412" t="s">
        <v>31</v>
      </c>
      <c r="L412">
        <v>4</v>
      </c>
      <c r="M412">
        <v>29892</v>
      </c>
      <c r="N412">
        <v>0.2</v>
      </c>
      <c r="O412">
        <v>119568</v>
      </c>
      <c r="P412">
        <v>23913.599999999999</v>
      </c>
      <c r="Q412">
        <v>95654.399999999994</v>
      </c>
      <c r="R412">
        <f>YEAR(Sales_Data[[#This Row],[Order_Date]])</f>
        <v>2025</v>
      </c>
      <c r="S412" t="str">
        <f>TEXT(Sales_Data[[#This Row],[Order_Date]],"mmmm")</f>
        <v>March</v>
      </c>
      <c r="T412">
        <f t="shared" si="6"/>
        <v>3</v>
      </c>
      <c r="U412" t="str">
        <f>"Q"&amp;ROUNDUP(MONTH(Sales_Data[[#This Row],[Order_Date]])/3,0)</f>
        <v>Q1</v>
      </c>
      <c r="V412" t="s">
        <v>64</v>
      </c>
      <c r="W412" t="s">
        <v>33</v>
      </c>
      <c r="X412" t="s">
        <v>34</v>
      </c>
      <c r="Y412">
        <v>7</v>
      </c>
      <c r="Z412">
        <v>9</v>
      </c>
      <c r="AA412">
        <v>5</v>
      </c>
      <c r="AB412" t="s">
        <v>130</v>
      </c>
      <c r="AC412" t="s">
        <v>56</v>
      </c>
      <c r="AD412">
        <v>2025</v>
      </c>
    </row>
    <row r="413" spans="1:30" x14ac:dyDescent="0.45">
      <c r="A413" t="s">
        <v>912</v>
      </c>
      <c r="B413" t="s">
        <v>913</v>
      </c>
      <c r="C413" t="str">
        <f>_xlfn.XLOOKUP(Sales_Data[[#This Row],[Product_ID]],Product_Master[Product_ID],Product_Master[Product],"Not Found")</f>
        <v>French Doors</v>
      </c>
      <c r="D413" s="3">
        <v>45890</v>
      </c>
      <c r="E413" t="s">
        <v>59</v>
      </c>
      <c r="F413" t="s">
        <v>60</v>
      </c>
      <c r="G413" t="s">
        <v>50</v>
      </c>
      <c r="H413" t="s">
        <v>28</v>
      </c>
      <c r="I413" t="s">
        <v>84</v>
      </c>
      <c r="J413" t="s">
        <v>85</v>
      </c>
      <c r="K413" t="s">
        <v>43</v>
      </c>
      <c r="L413">
        <v>2</v>
      </c>
      <c r="M413">
        <v>44388</v>
      </c>
      <c r="N413">
        <v>0.15</v>
      </c>
      <c r="O413">
        <v>88776</v>
      </c>
      <c r="P413">
        <v>13316.4</v>
      </c>
      <c r="Q413">
        <v>75459.600000000006</v>
      </c>
      <c r="R413">
        <f>YEAR(Sales_Data[[#This Row],[Order_Date]])</f>
        <v>2025</v>
      </c>
      <c r="S413" t="str">
        <f>TEXT(Sales_Data[[#This Row],[Order_Date]],"mmmm")</f>
        <v>August</v>
      </c>
      <c r="T413">
        <f t="shared" si="6"/>
        <v>8</v>
      </c>
      <c r="U413" t="str">
        <f>"Q"&amp;ROUNDUP(MONTH(Sales_Data[[#This Row],[Order_Date]])/3,0)</f>
        <v>Q3</v>
      </c>
      <c r="V413" t="s">
        <v>98</v>
      </c>
      <c r="W413" t="s">
        <v>54</v>
      </c>
      <c r="X413" t="s">
        <v>34</v>
      </c>
      <c r="Y413">
        <v>3</v>
      </c>
      <c r="Z413">
        <v>12</v>
      </c>
      <c r="AA413">
        <v>5</v>
      </c>
      <c r="AB413" t="s">
        <v>123</v>
      </c>
      <c r="AC413" t="s">
        <v>90</v>
      </c>
      <c r="AD413">
        <v>2025</v>
      </c>
    </row>
    <row r="414" spans="1:30" x14ac:dyDescent="0.45">
      <c r="A414" t="s">
        <v>914</v>
      </c>
      <c r="B414" t="s">
        <v>915</v>
      </c>
      <c r="C414" t="str">
        <f>_xlfn.XLOOKUP(Sales_Data[[#This Row],[Product_ID]],Product_Master[Product_ID],Product_Master[Product],"Not Found")</f>
        <v>Sliding Doors</v>
      </c>
      <c r="D414" s="3">
        <v>45977</v>
      </c>
      <c r="E414" t="s">
        <v>59</v>
      </c>
      <c r="F414" t="s">
        <v>39</v>
      </c>
      <c r="G414" t="s">
        <v>139</v>
      </c>
      <c r="H414" t="s">
        <v>119</v>
      </c>
      <c r="I414" t="s">
        <v>101</v>
      </c>
      <c r="J414" t="s">
        <v>102</v>
      </c>
      <c r="K414" t="s">
        <v>43</v>
      </c>
      <c r="L414">
        <v>1</v>
      </c>
      <c r="M414">
        <v>32808</v>
      </c>
      <c r="N414">
        <v>0</v>
      </c>
      <c r="O414">
        <v>32808</v>
      </c>
      <c r="P414">
        <v>0</v>
      </c>
      <c r="Q414">
        <v>32808</v>
      </c>
      <c r="R414">
        <f>YEAR(Sales_Data[[#This Row],[Order_Date]])</f>
        <v>2025</v>
      </c>
      <c r="S414" t="str">
        <f>TEXT(Sales_Data[[#This Row],[Order_Date]],"mmmm")</f>
        <v>November</v>
      </c>
      <c r="T414">
        <f t="shared" si="6"/>
        <v>11</v>
      </c>
      <c r="U414" t="str">
        <f>"Q"&amp;ROUNDUP(MONTH(Sales_Data[[#This Row],[Order_Date]])/3,0)</f>
        <v>Q4</v>
      </c>
      <c r="V414" t="s">
        <v>44</v>
      </c>
      <c r="W414" t="s">
        <v>33</v>
      </c>
      <c r="X414" t="s">
        <v>45</v>
      </c>
      <c r="Y414">
        <v>6</v>
      </c>
      <c r="Z414">
        <v>26</v>
      </c>
      <c r="AA414">
        <v>5</v>
      </c>
      <c r="AB414" t="s">
        <v>67</v>
      </c>
      <c r="AC414" t="s">
        <v>36</v>
      </c>
      <c r="AD414">
        <v>2025</v>
      </c>
    </row>
    <row r="415" spans="1:30" x14ac:dyDescent="0.45">
      <c r="A415" t="s">
        <v>916</v>
      </c>
      <c r="B415" t="s">
        <v>917</v>
      </c>
      <c r="C415" t="str">
        <f>_xlfn.XLOOKUP(Sales_Data[[#This Row],[Product_ID]],Product_Master[Product_ID],Product_Master[Product],"Not Found")</f>
        <v>Soundproof Windows</v>
      </c>
      <c r="D415" s="3">
        <v>45927</v>
      </c>
      <c r="E415" t="s">
        <v>25</v>
      </c>
      <c r="F415" t="s">
        <v>26</v>
      </c>
      <c r="G415" t="s">
        <v>82</v>
      </c>
      <c r="H415" t="s">
        <v>28</v>
      </c>
      <c r="I415" t="s">
        <v>29</v>
      </c>
      <c r="J415" t="s">
        <v>30</v>
      </c>
      <c r="K415" t="s">
        <v>31</v>
      </c>
      <c r="L415">
        <v>4</v>
      </c>
      <c r="M415">
        <v>47414</v>
      </c>
      <c r="N415">
        <v>0.15</v>
      </c>
      <c r="O415">
        <v>189656</v>
      </c>
      <c r="P415">
        <v>28448.400000000001</v>
      </c>
      <c r="Q415">
        <v>161207.6</v>
      </c>
      <c r="R415">
        <f>YEAR(Sales_Data[[#This Row],[Order_Date]])</f>
        <v>2025</v>
      </c>
      <c r="S415" t="str">
        <f>TEXT(Sales_Data[[#This Row],[Order_Date]],"mmmm")</f>
        <v>September</v>
      </c>
      <c r="T415">
        <f t="shared" si="6"/>
        <v>9</v>
      </c>
      <c r="U415" t="str">
        <f>"Q"&amp;ROUNDUP(MONTH(Sales_Data[[#This Row],[Order_Date]])/3,0)</f>
        <v>Q3</v>
      </c>
      <c r="V415" t="s">
        <v>32</v>
      </c>
      <c r="W415" t="s">
        <v>33</v>
      </c>
      <c r="X415" t="s">
        <v>45</v>
      </c>
      <c r="Y415">
        <v>2</v>
      </c>
      <c r="Z415">
        <v>7</v>
      </c>
      <c r="AA415">
        <v>3</v>
      </c>
      <c r="AB415" t="s">
        <v>89</v>
      </c>
      <c r="AC415" t="s">
        <v>90</v>
      </c>
      <c r="AD415">
        <v>2025</v>
      </c>
    </row>
    <row r="416" spans="1:30" x14ac:dyDescent="0.45">
      <c r="A416" t="s">
        <v>918</v>
      </c>
      <c r="B416" t="s">
        <v>919</v>
      </c>
      <c r="C416" t="str">
        <f>_xlfn.XLOOKUP(Sales_Data[[#This Row],[Product_ID]],Product_Master[Product_ID],Product_Master[Product],"Not Found")</f>
        <v>Sliding Doors</v>
      </c>
      <c r="D416" s="3">
        <v>46009</v>
      </c>
      <c r="E416" t="s">
        <v>25</v>
      </c>
      <c r="F416" t="s">
        <v>26</v>
      </c>
      <c r="G416" t="s">
        <v>61</v>
      </c>
      <c r="H416" t="s">
        <v>83</v>
      </c>
      <c r="I416" t="s">
        <v>101</v>
      </c>
      <c r="J416" t="s">
        <v>102</v>
      </c>
      <c r="K416" t="s">
        <v>43</v>
      </c>
      <c r="L416">
        <v>2</v>
      </c>
      <c r="M416">
        <v>39338</v>
      </c>
      <c r="N416">
        <v>0</v>
      </c>
      <c r="O416">
        <v>78676</v>
      </c>
      <c r="P416">
        <v>0</v>
      </c>
      <c r="Q416">
        <v>78676</v>
      </c>
      <c r="R416">
        <f>YEAR(Sales_Data[[#This Row],[Order_Date]])</f>
        <v>2025</v>
      </c>
      <c r="S416" t="str">
        <f>TEXT(Sales_Data[[#This Row],[Order_Date]],"mmmm")</f>
        <v>December</v>
      </c>
      <c r="T416">
        <f t="shared" si="6"/>
        <v>12</v>
      </c>
      <c r="U416" t="str">
        <f>"Q"&amp;ROUNDUP(MONTH(Sales_Data[[#This Row],[Order_Date]])/3,0)</f>
        <v>Q4</v>
      </c>
      <c r="V416" t="s">
        <v>32</v>
      </c>
      <c r="W416" t="s">
        <v>33</v>
      </c>
      <c r="X416" t="s">
        <v>45</v>
      </c>
      <c r="Y416">
        <v>2</v>
      </c>
      <c r="Z416">
        <v>5</v>
      </c>
      <c r="AA416">
        <v>3</v>
      </c>
      <c r="AB416" t="s">
        <v>113</v>
      </c>
      <c r="AC416" t="s">
        <v>36</v>
      </c>
      <c r="AD416">
        <v>2025</v>
      </c>
    </row>
    <row r="417" spans="1:30" x14ac:dyDescent="0.45">
      <c r="A417" t="s">
        <v>920</v>
      </c>
      <c r="B417" t="s">
        <v>921</v>
      </c>
      <c r="C417" t="str">
        <f>_xlfn.XLOOKUP(Sales_Data[[#This Row],[Product_ID]],Product_Master[Product_ID],Product_Master[Product],"Not Found")</f>
        <v>Casement Windows</v>
      </c>
      <c r="D417" s="3">
        <v>45868</v>
      </c>
      <c r="E417" t="s">
        <v>25</v>
      </c>
      <c r="F417" t="s">
        <v>60</v>
      </c>
      <c r="G417" t="s">
        <v>27</v>
      </c>
      <c r="H417" t="s">
        <v>83</v>
      </c>
      <c r="I417" t="s">
        <v>75</v>
      </c>
      <c r="J417" t="s">
        <v>76</v>
      </c>
      <c r="K417" t="s">
        <v>31</v>
      </c>
      <c r="L417">
        <v>4</v>
      </c>
      <c r="M417">
        <v>25078</v>
      </c>
      <c r="N417">
        <v>0.1</v>
      </c>
      <c r="O417">
        <v>100312</v>
      </c>
      <c r="P417">
        <v>10031.200000000001</v>
      </c>
      <c r="Q417">
        <v>90280.8</v>
      </c>
      <c r="R417">
        <f>YEAR(Sales_Data[[#This Row],[Order_Date]])</f>
        <v>2025</v>
      </c>
      <c r="S417" t="str">
        <f>TEXT(Sales_Data[[#This Row],[Order_Date]],"mmmm")</f>
        <v>July</v>
      </c>
      <c r="T417">
        <f t="shared" si="6"/>
        <v>7</v>
      </c>
      <c r="U417" t="str">
        <f>"Q"&amp;ROUNDUP(MONTH(Sales_Data[[#This Row],[Order_Date]])/3,0)</f>
        <v>Q3</v>
      </c>
      <c r="V417" t="s">
        <v>32</v>
      </c>
      <c r="W417" t="s">
        <v>65</v>
      </c>
      <c r="X417" t="s">
        <v>45</v>
      </c>
      <c r="Y417">
        <v>4</v>
      </c>
      <c r="Z417">
        <v>20</v>
      </c>
      <c r="AA417">
        <v>3</v>
      </c>
      <c r="AB417" t="s">
        <v>155</v>
      </c>
      <c r="AC417" t="s">
        <v>90</v>
      </c>
      <c r="AD417">
        <v>2025</v>
      </c>
    </row>
    <row r="418" spans="1:30" x14ac:dyDescent="0.45">
      <c r="A418" t="s">
        <v>922</v>
      </c>
      <c r="B418" t="s">
        <v>923</v>
      </c>
      <c r="C418" t="str">
        <f>_xlfn.XLOOKUP(Sales_Data[[#This Row],[Product_ID]],Product_Master[Product_ID],Product_Master[Product],"Not Found")</f>
        <v>uPVC Doors</v>
      </c>
      <c r="D418" s="3">
        <v>46022</v>
      </c>
      <c r="E418" t="s">
        <v>59</v>
      </c>
      <c r="F418" t="s">
        <v>39</v>
      </c>
      <c r="G418" t="s">
        <v>50</v>
      </c>
      <c r="H418" t="s">
        <v>28</v>
      </c>
      <c r="I418" t="s">
        <v>107</v>
      </c>
      <c r="J418" t="s">
        <v>108</v>
      </c>
      <c r="K418" t="s">
        <v>43</v>
      </c>
      <c r="L418">
        <v>5</v>
      </c>
      <c r="M418">
        <v>31381</v>
      </c>
      <c r="N418">
        <v>0.2</v>
      </c>
      <c r="O418">
        <v>156905</v>
      </c>
      <c r="P418">
        <v>31381</v>
      </c>
      <c r="Q418">
        <v>125524</v>
      </c>
      <c r="R418">
        <f>YEAR(Sales_Data[[#This Row],[Order_Date]])</f>
        <v>2025</v>
      </c>
      <c r="S418" t="str">
        <f>TEXT(Sales_Data[[#This Row],[Order_Date]],"mmmm")</f>
        <v>December</v>
      </c>
      <c r="T418">
        <f t="shared" si="6"/>
        <v>12</v>
      </c>
      <c r="U418" t="str">
        <f>"Q"&amp;ROUNDUP(MONTH(Sales_Data[[#This Row],[Order_Date]])/3,0)</f>
        <v>Q4</v>
      </c>
      <c r="V418" t="s">
        <v>98</v>
      </c>
      <c r="W418" t="s">
        <v>33</v>
      </c>
      <c r="X418" t="s">
        <v>66</v>
      </c>
      <c r="Y418">
        <v>4</v>
      </c>
      <c r="Z418">
        <v>22</v>
      </c>
      <c r="AA418">
        <v>3</v>
      </c>
      <c r="AB418" t="s">
        <v>113</v>
      </c>
      <c r="AC418" t="s">
        <v>36</v>
      </c>
      <c r="AD418">
        <v>2025</v>
      </c>
    </row>
    <row r="419" spans="1:30" x14ac:dyDescent="0.45">
      <c r="A419" t="s">
        <v>924</v>
      </c>
      <c r="B419" t="s">
        <v>925</v>
      </c>
      <c r="C419" t="str">
        <f>_xlfn.XLOOKUP(Sales_Data[[#This Row],[Product_ID]],Product_Master[Product_ID],Product_Master[Product],"Not Found")</f>
        <v>Aluminium Windows</v>
      </c>
      <c r="D419" s="3">
        <v>45931</v>
      </c>
      <c r="E419" t="s">
        <v>59</v>
      </c>
      <c r="F419" t="s">
        <v>39</v>
      </c>
      <c r="G419" t="s">
        <v>27</v>
      </c>
      <c r="H419" t="s">
        <v>28</v>
      </c>
      <c r="I419" t="s">
        <v>52</v>
      </c>
      <c r="J419" t="s">
        <v>53</v>
      </c>
      <c r="K419" t="s">
        <v>31</v>
      </c>
      <c r="L419">
        <v>6</v>
      </c>
      <c r="M419">
        <v>22214</v>
      </c>
      <c r="N419">
        <v>0</v>
      </c>
      <c r="O419">
        <v>133284</v>
      </c>
      <c r="P419">
        <v>0</v>
      </c>
      <c r="Q419">
        <v>133284</v>
      </c>
      <c r="R419">
        <f>YEAR(Sales_Data[[#This Row],[Order_Date]])</f>
        <v>2025</v>
      </c>
      <c r="S419" t="str">
        <f>TEXT(Sales_Data[[#This Row],[Order_Date]],"mmmm")</f>
        <v>October</v>
      </c>
      <c r="T419">
        <f t="shared" si="6"/>
        <v>10</v>
      </c>
      <c r="U419" t="str">
        <f>"Q"&amp;ROUNDUP(MONTH(Sales_Data[[#This Row],[Order_Date]])/3,0)</f>
        <v>Q4</v>
      </c>
      <c r="V419" t="s">
        <v>32</v>
      </c>
      <c r="W419" t="s">
        <v>65</v>
      </c>
      <c r="X419" t="s">
        <v>45</v>
      </c>
      <c r="Y419">
        <v>6</v>
      </c>
      <c r="Z419">
        <v>12</v>
      </c>
      <c r="AA419">
        <v>3</v>
      </c>
      <c r="AB419" t="s">
        <v>35</v>
      </c>
      <c r="AC419" t="s">
        <v>36</v>
      </c>
      <c r="AD419">
        <v>2025</v>
      </c>
    </row>
    <row r="420" spans="1:30" x14ac:dyDescent="0.45">
      <c r="A420" t="s">
        <v>926</v>
      </c>
      <c r="B420" t="s">
        <v>927</v>
      </c>
      <c r="C420" t="str">
        <f>_xlfn.XLOOKUP(Sales_Data[[#This Row],[Product_ID]],Product_Master[Product_ID],Product_Master[Product],"Not Found")</f>
        <v>Sliding Doors</v>
      </c>
      <c r="D420" s="3">
        <v>45877</v>
      </c>
      <c r="E420" t="s">
        <v>25</v>
      </c>
      <c r="F420" t="s">
        <v>26</v>
      </c>
      <c r="G420" t="s">
        <v>61</v>
      </c>
      <c r="H420" t="s">
        <v>112</v>
      </c>
      <c r="I420" t="s">
        <v>101</v>
      </c>
      <c r="J420" t="s">
        <v>102</v>
      </c>
      <c r="K420" t="s">
        <v>43</v>
      </c>
      <c r="L420">
        <v>6</v>
      </c>
      <c r="M420">
        <v>36942</v>
      </c>
      <c r="N420">
        <v>0.1</v>
      </c>
      <c r="O420">
        <v>221652</v>
      </c>
      <c r="P420">
        <v>22165.200000000001</v>
      </c>
      <c r="Q420">
        <v>199486.8</v>
      </c>
      <c r="R420">
        <f>YEAR(Sales_Data[[#This Row],[Order_Date]])</f>
        <v>2025</v>
      </c>
      <c r="S420" t="str">
        <f>TEXT(Sales_Data[[#This Row],[Order_Date]],"mmmm")</f>
        <v>August</v>
      </c>
      <c r="T420">
        <f t="shared" si="6"/>
        <v>8</v>
      </c>
      <c r="U420" t="str">
        <f>"Q"&amp;ROUNDUP(MONTH(Sales_Data[[#This Row],[Order_Date]])/3,0)</f>
        <v>Q3</v>
      </c>
      <c r="V420" t="s">
        <v>44</v>
      </c>
      <c r="W420" t="s">
        <v>33</v>
      </c>
      <c r="X420" t="s">
        <v>34</v>
      </c>
      <c r="Y420">
        <v>7</v>
      </c>
      <c r="Z420">
        <v>12</v>
      </c>
      <c r="AA420">
        <v>4</v>
      </c>
      <c r="AB420" t="s">
        <v>123</v>
      </c>
      <c r="AC420" t="s">
        <v>90</v>
      </c>
      <c r="AD420">
        <v>2025</v>
      </c>
    </row>
    <row r="421" spans="1:30" x14ac:dyDescent="0.45">
      <c r="A421" t="s">
        <v>928</v>
      </c>
      <c r="B421" t="s">
        <v>929</v>
      </c>
      <c r="C421" t="str">
        <f>_xlfn.XLOOKUP(Sales_Data[[#This Row],[Product_ID]],Product_Master[Product_ID],Product_Master[Product],"Not Found")</f>
        <v>Casement Windows</v>
      </c>
      <c r="D421" s="3">
        <v>45814</v>
      </c>
      <c r="E421" t="s">
        <v>59</v>
      </c>
      <c r="F421" t="s">
        <v>26</v>
      </c>
      <c r="G421" t="s">
        <v>82</v>
      </c>
      <c r="H421" t="s">
        <v>88</v>
      </c>
      <c r="I421" t="s">
        <v>75</v>
      </c>
      <c r="J421" t="s">
        <v>76</v>
      </c>
      <c r="K421" t="s">
        <v>31</v>
      </c>
      <c r="L421">
        <v>2</v>
      </c>
      <c r="M421">
        <v>29361</v>
      </c>
      <c r="N421">
        <v>0</v>
      </c>
      <c r="O421">
        <v>58722</v>
      </c>
      <c r="P421">
        <v>0</v>
      </c>
      <c r="Q421">
        <v>58722</v>
      </c>
      <c r="R421">
        <f>YEAR(Sales_Data[[#This Row],[Order_Date]])</f>
        <v>2025</v>
      </c>
      <c r="S421" t="str">
        <f>TEXT(Sales_Data[[#This Row],[Order_Date]],"mmmm")</f>
        <v>June</v>
      </c>
      <c r="T421">
        <f t="shared" si="6"/>
        <v>6</v>
      </c>
      <c r="U421" t="str">
        <f>"Q"&amp;ROUNDUP(MONTH(Sales_Data[[#This Row],[Order_Date]])/3,0)</f>
        <v>Q2</v>
      </c>
      <c r="V421" t="s">
        <v>122</v>
      </c>
      <c r="W421" t="s">
        <v>33</v>
      </c>
      <c r="X421" t="s">
        <v>45</v>
      </c>
      <c r="Y421">
        <v>2</v>
      </c>
      <c r="Z421">
        <v>19</v>
      </c>
      <c r="AA421">
        <v>4</v>
      </c>
      <c r="AB421" t="s">
        <v>46</v>
      </c>
      <c r="AC421" t="s">
        <v>47</v>
      </c>
      <c r="AD421">
        <v>2025</v>
      </c>
    </row>
    <row r="422" spans="1:30" x14ac:dyDescent="0.45">
      <c r="A422" t="s">
        <v>930</v>
      </c>
      <c r="B422" t="s">
        <v>931</v>
      </c>
      <c r="C422" t="str">
        <f>_xlfn.XLOOKUP(Sales_Data[[#This Row],[Product_ID]],Product_Master[Product_ID],Product_Master[Product],"Not Found")</f>
        <v>Casement Windows</v>
      </c>
      <c r="D422" s="3">
        <v>45991</v>
      </c>
      <c r="E422" t="s">
        <v>59</v>
      </c>
      <c r="F422" t="s">
        <v>60</v>
      </c>
      <c r="G422" t="s">
        <v>139</v>
      </c>
      <c r="H422" t="s">
        <v>83</v>
      </c>
      <c r="I422" t="s">
        <v>75</v>
      </c>
      <c r="J422" t="s">
        <v>76</v>
      </c>
      <c r="K422" t="s">
        <v>31</v>
      </c>
      <c r="L422">
        <v>1</v>
      </c>
      <c r="M422">
        <v>29465</v>
      </c>
      <c r="N422">
        <v>0.2</v>
      </c>
      <c r="O422">
        <v>29465</v>
      </c>
      <c r="P422">
        <v>5893</v>
      </c>
      <c r="Q422">
        <v>23572</v>
      </c>
      <c r="R422">
        <f>YEAR(Sales_Data[[#This Row],[Order_Date]])</f>
        <v>2025</v>
      </c>
      <c r="S422" t="str">
        <f>TEXT(Sales_Data[[#This Row],[Order_Date]],"mmmm")</f>
        <v>November</v>
      </c>
      <c r="T422">
        <f t="shared" si="6"/>
        <v>11</v>
      </c>
      <c r="U422" t="str">
        <f>"Q"&amp;ROUNDUP(MONTH(Sales_Data[[#This Row],[Order_Date]])/3,0)</f>
        <v>Q4</v>
      </c>
      <c r="V422" t="s">
        <v>64</v>
      </c>
      <c r="W422" t="s">
        <v>65</v>
      </c>
      <c r="X422" t="s">
        <v>34</v>
      </c>
      <c r="Y422">
        <v>7</v>
      </c>
      <c r="Z422">
        <v>8</v>
      </c>
      <c r="AA422">
        <v>2</v>
      </c>
      <c r="AB422" t="s">
        <v>67</v>
      </c>
      <c r="AC422" t="s">
        <v>36</v>
      </c>
      <c r="AD422">
        <v>2025</v>
      </c>
    </row>
  </sheetData>
  <phoneticPr fontId="5" type="noConversion"/>
  <pageMargins left="0.75" right="0.75" top="1" bottom="1" header="0.5" footer="0.5"/>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election activeCell="C15" sqref="C15"/>
    </sheetView>
  </sheetViews>
  <sheetFormatPr defaultRowHeight="14.25" x14ac:dyDescent="0.45"/>
  <cols>
    <col min="1" max="1" width="11.59765625" customWidth="1"/>
    <col min="2" max="2" width="11.53125" customWidth="1"/>
    <col min="3" max="3" width="9.796875" customWidth="1"/>
    <col min="4" max="4" width="14.796875" customWidth="1"/>
    <col min="5" max="5" width="15.53125" customWidth="1"/>
    <col min="6" max="6" width="20" customWidth="1"/>
  </cols>
  <sheetData>
    <row r="1" spans="1:6" x14ac:dyDescent="0.45">
      <c r="A1" s="1" t="s">
        <v>7</v>
      </c>
      <c r="B1" s="1" t="s">
        <v>8</v>
      </c>
      <c r="C1" s="1" t="s">
        <v>9</v>
      </c>
      <c r="D1" s="1" t="s">
        <v>932</v>
      </c>
      <c r="E1" s="1" t="s">
        <v>933</v>
      </c>
      <c r="F1" s="1" t="s">
        <v>934</v>
      </c>
    </row>
    <row r="2" spans="1:6" x14ac:dyDescent="0.45">
      <c r="A2" t="s">
        <v>62</v>
      </c>
      <c r="B2" t="s">
        <v>63</v>
      </c>
      <c r="C2" t="s">
        <v>31</v>
      </c>
      <c r="D2">
        <v>18000</v>
      </c>
      <c r="E2">
        <v>10</v>
      </c>
      <c r="F2" t="s">
        <v>116</v>
      </c>
    </row>
    <row r="3" spans="1:6" x14ac:dyDescent="0.45">
      <c r="A3" t="s">
        <v>52</v>
      </c>
      <c r="B3" t="s">
        <v>53</v>
      </c>
      <c r="C3" t="s">
        <v>31</v>
      </c>
      <c r="D3">
        <v>22000</v>
      </c>
      <c r="E3">
        <v>10</v>
      </c>
      <c r="F3" t="s">
        <v>111</v>
      </c>
    </row>
    <row r="4" spans="1:6" x14ac:dyDescent="0.45">
      <c r="A4" t="s">
        <v>101</v>
      </c>
      <c r="B4" t="s">
        <v>102</v>
      </c>
      <c r="C4" t="s">
        <v>43</v>
      </c>
      <c r="D4">
        <v>35000</v>
      </c>
      <c r="E4">
        <v>5</v>
      </c>
      <c r="F4" t="s">
        <v>40</v>
      </c>
    </row>
    <row r="5" spans="1:6" x14ac:dyDescent="0.45">
      <c r="A5" t="s">
        <v>84</v>
      </c>
      <c r="B5" t="s">
        <v>85</v>
      </c>
      <c r="C5" t="s">
        <v>43</v>
      </c>
      <c r="D5">
        <v>42000</v>
      </c>
      <c r="E5">
        <v>5</v>
      </c>
      <c r="F5" t="s">
        <v>50</v>
      </c>
    </row>
    <row r="6" spans="1:6" x14ac:dyDescent="0.45">
      <c r="A6" t="s">
        <v>75</v>
      </c>
      <c r="B6" t="s">
        <v>76</v>
      </c>
      <c r="C6" t="s">
        <v>31</v>
      </c>
      <c r="D6">
        <v>26000</v>
      </c>
      <c r="E6">
        <v>10</v>
      </c>
      <c r="F6" t="s">
        <v>82</v>
      </c>
    </row>
    <row r="7" spans="1:6" x14ac:dyDescent="0.45">
      <c r="A7" t="s">
        <v>41</v>
      </c>
      <c r="B7" t="s">
        <v>42</v>
      </c>
      <c r="C7" t="s">
        <v>43</v>
      </c>
      <c r="D7">
        <v>55000</v>
      </c>
      <c r="E7">
        <v>5</v>
      </c>
      <c r="F7" t="s">
        <v>27</v>
      </c>
    </row>
    <row r="8" spans="1:6" x14ac:dyDescent="0.45">
      <c r="A8" t="s">
        <v>107</v>
      </c>
      <c r="B8" t="s">
        <v>108</v>
      </c>
      <c r="C8" t="s">
        <v>43</v>
      </c>
      <c r="D8">
        <v>30000</v>
      </c>
      <c r="E8">
        <v>5</v>
      </c>
      <c r="F8" t="s">
        <v>139</v>
      </c>
    </row>
    <row r="9" spans="1:6" x14ac:dyDescent="0.45">
      <c r="A9" t="s">
        <v>29</v>
      </c>
      <c r="B9" t="s">
        <v>30</v>
      </c>
      <c r="C9" t="s">
        <v>31</v>
      </c>
      <c r="D9">
        <v>48000</v>
      </c>
      <c r="E9">
        <v>10</v>
      </c>
      <c r="F9" t="s">
        <v>61</v>
      </c>
    </row>
    <row r="12" spans="1:6" x14ac:dyDescent="0.45">
      <c r="A12" t="s">
        <v>983</v>
      </c>
      <c r="B12" t="s">
        <v>75</v>
      </c>
    </row>
    <row r="13" spans="1:6" x14ac:dyDescent="0.45">
      <c r="A13" s="8" t="s">
        <v>932</v>
      </c>
      <c r="B13">
        <f>INDEX(Product_Master!$A$2:$F$9,MATCH(B12,Product_Master!$A$2:$A$9,0),MATCH(A13,Product_Master!$A$1:$F$1,0))</f>
        <v>26000</v>
      </c>
      <c r="C13" t="str">
        <f ca="1">_xlfn.FORMULATEXT(B13)</f>
        <v>=INDEX(Product_Master!$A$2:$F$9,MATCH(B12,Product_Master!$A$2:$A$9,0),MATCH(A13,Product_Master!$A$1:$F$1,0))</v>
      </c>
    </row>
    <row r="14" spans="1:6" x14ac:dyDescent="0.45">
      <c r="B14">
        <f>INDEX(Product_Master[],MATCH(B12,Product_Master[Product_ID],0),MATCH(A13,Product_Master[#Headers],0))</f>
        <v>26000</v>
      </c>
      <c r="C14" t="str">
        <f ca="1">_xlfn.FORMULATEXT(B14)</f>
        <v>=INDEX(Product_Master,MATCH(B12,Product_Master[Product_ID],0),MATCH(A13,Product_Master[#Headers],0))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AE2B6-00AB-4CA6-91DF-6C55E7367F93}">
  <dimension ref="A1:H11"/>
  <sheetViews>
    <sheetView workbookViewId="0">
      <selection activeCell="G8" sqref="G8"/>
    </sheetView>
  </sheetViews>
  <sheetFormatPr defaultRowHeight="14.25" x14ac:dyDescent="0.45"/>
  <sheetData>
    <row r="1" spans="1:8" x14ac:dyDescent="0.45">
      <c r="A1" t="s">
        <v>979</v>
      </c>
    </row>
    <row r="3" spans="1:8" x14ac:dyDescent="0.45">
      <c r="A3" s="4" t="s">
        <v>971</v>
      </c>
      <c r="B3" s="4" t="s">
        <v>972</v>
      </c>
    </row>
    <row r="4" spans="1:8" x14ac:dyDescent="0.45">
      <c r="A4" s="5" t="s">
        <v>980</v>
      </c>
      <c r="B4" s="5" t="s">
        <v>75</v>
      </c>
    </row>
    <row r="5" spans="1:8" ht="42.75" x14ac:dyDescent="0.45">
      <c r="A5" s="5" t="s">
        <v>981</v>
      </c>
      <c r="B5" s="5" t="s">
        <v>932</v>
      </c>
      <c r="C5" t="s">
        <v>985</v>
      </c>
    </row>
    <row r="6" spans="1:8" x14ac:dyDescent="0.45">
      <c r="A6" s="5" t="s">
        <v>973</v>
      </c>
      <c r="B6" s="5" t="s">
        <v>977</v>
      </c>
      <c r="C6" t="s">
        <v>986</v>
      </c>
    </row>
    <row r="7" spans="1:8" x14ac:dyDescent="0.45">
      <c r="C7" s="7" t="s">
        <v>974</v>
      </c>
      <c r="D7" s="7"/>
      <c r="E7" s="7"/>
      <c r="F7" s="7"/>
      <c r="G7" s="7"/>
      <c r="H7" s="7"/>
    </row>
    <row r="9" spans="1:8" x14ac:dyDescent="0.45">
      <c r="B9">
        <f>VLOOKUP(B4,Product_Master[#All],4,0)</f>
        <v>26000</v>
      </c>
      <c r="C9" t="str">
        <f ca="1">_xlfn.FORMULATEXT(B9)</f>
        <v>=VLOOKUP(B4,Product_Master[#All],4,0)</v>
      </c>
    </row>
    <row r="10" spans="1:8" x14ac:dyDescent="0.45">
      <c r="B10">
        <f>VLOOKUP(B4,Product_Master[],4,0)</f>
        <v>26000</v>
      </c>
      <c r="C10" t="str">
        <f ca="1">_xlfn.FORMULATEXT(B10)</f>
        <v>=VLOOKUP(B4,Product_Master,4,0)</v>
      </c>
    </row>
    <row r="11" spans="1:8" x14ac:dyDescent="0.45">
      <c r="B11">
        <f>VLOOKUP(B4,Product_Master[#All],MATCH(B5,Product_Master[#Headers],0),FALSE)</f>
        <v>26000</v>
      </c>
      <c r="C11" t="str">
        <f ca="1">_xlfn.FORMULATEXT(B11)</f>
        <v>=VLOOKUP(B4,Product_Master[#All],MATCH(B5,Product_Master[#Headers],0),FALSE)</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
  <sheetViews>
    <sheetView workbookViewId="0">
      <selection sqref="A1:F5"/>
    </sheetView>
  </sheetViews>
  <sheetFormatPr defaultRowHeight="14.25" x14ac:dyDescent="0.45"/>
  <cols>
    <col min="1" max="1" width="13.33203125" customWidth="1"/>
    <col min="2" max="2" width="12.3984375" customWidth="1"/>
    <col min="4" max="4" width="12.265625" customWidth="1"/>
    <col min="5" max="5" width="16.796875" customWidth="1"/>
  </cols>
  <sheetData>
    <row r="1" spans="1:6" x14ac:dyDescent="0.45">
      <c r="A1" s="1" t="s">
        <v>935</v>
      </c>
      <c r="B1" s="1" t="s">
        <v>5</v>
      </c>
      <c r="C1" s="1" t="s">
        <v>936</v>
      </c>
      <c r="D1" s="1" t="s">
        <v>937</v>
      </c>
      <c r="E1" s="1" t="s">
        <v>938</v>
      </c>
      <c r="F1" s="1" t="s">
        <v>4</v>
      </c>
    </row>
    <row r="2" spans="1:6" x14ac:dyDescent="0.45">
      <c r="A2" t="s">
        <v>939</v>
      </c>
      <c r="B2" t="s">
        <v>116</v>
      </c>
      <c r="C2" t="s">
        <v>940</v>
      </c>
      <c r="D2" t="s">
        <v>941</v>
      </c>
      <c r="E2">
        <v>4</v>
      </c>
      <c r="F2" t="s">
        <v>39</v>
      </c>
    </row>
    <row r="3" spans="1:6" x14ac:dyDescent="0.45">
      <c r="A3" t="s">
        <v>942</v>
      </c>
      <c r="B3" t="s">
        <v>111</v>
      </c>
      <c r="C3" t="s">
        <v>940</v>
      </c>
      <c r="D3" t="s">
        <v>943</v>
      </c>
      <c r="E3">
        <v>6</v>
      </c>
      <c r="F3" t="s">
        <v>26</v>
      </c>
    </row>
    <row r="4" spans="1:6" x14ac:dyDescent="0.45">
      <c r="A4" t="s">
        <v>944</v>
      </c>
      <c r="B4" t="s">
        <v>27</v>
      </c>
      <c r="C4" t="s">
        <v>940</v>
      </c>
      <c r="D4" t="s">
        <v>941</v>
      </c>
      <c r="E4">
        <v>3</v>
      </c>
      <c r="F4" t="s">
        <v>60</v>
      </c>
    </row>
    <row r="5" spans="1:6" x14ac:dyDescent="0.45">
      <c r="A5" t="s">
        <v>945</v>
      </c>
      <c r="B5" t="s">
        <v>139</v>
      </c>
      <c r="C5" t="s">
        <v>946</v>
      </c>
      <c r="D5" t="s">
        <v>947</v>
      </c>
      <c r="E5">
        <v>6</v>
      </c>
      <c r="F5" t="s">
        <v>70</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
  <sheetViews>
    <sheetView workbookViewId="0">
      <selection sqref="A1:F5"/>
    </sheetView>
  </sheetViews>
  <sheetFormatPr defaultRowHeight="14.25" x14ac:dyDescent="0.45"/>
  <cols>
    <col min="1" max="1" width="11" customWidth="1"/>
    <col min="5" max="5" width="16.33203125" customWidth="1"/>
    <col min="6" max="6" width="15.59765625" customWidth="1"/>
  </cols>
  <sheetData>
    <row r="1" spans="1:6" x14ac:dyDescent="0.45">
      <c r="A1" s="1" t="s">
        <v>948</v>
      </c>
      <c r="B1" s="1" t="s">
        <v>4</v>
      </c>
      <c r="C1" s="1" t="s">
        <v>949</v>
      </c>
      <c r="D1" s="1" t="s">
        <v>950</v>
      </c>
      <c r="E1" s="1" t="s">
        <v>951</v>
      </c>
      <c r="F1" s="1" t="s">
        <v>952</v>
      </c>
    </row>
    <row r="2" spans="1:6" x14ac:dyDescent="0.45">
      <c r="A2" t="s">
        <v>953</v>
      </c>
      <c r="B2" t="s">
        <v>39</v>
      </c>
      <c r="C2" t="s">
        <v>954</v>
      </c>
      <c r="D2" t="s">
        <v>955</v>
      </c>
      <c r="E2" t="s">
        <v>956</v>
      </c>
      <c r="F2">
        <v>3500000</v>
      </c>
    </row>
    <row r="3" spans="1:6" x14ac:dyDescent="0.45">
      <c r="A3" t="s">
        <v>957</v>
      </c>
      <c r="B3" t="s">
        <v>26</v>
      </c>
      <c r="C3" t="s">
        <v>954</v>
      </c>
      <c r="D3" t="s">
        <v>955</v>
      </c>
      <c r="E3" t="s">
        <v>958</v>
      </c>
      <c r="F3">
        <v>2200000</v>
      </c>
    </row>
    <row r="4" spans="1:6" x14ac:dyDescent="0.45">
      <c r="A4" t="s">
        <v>959</v>
      </c>
      <c r="B4" t="s">
        <v>60</v>
      </c>
      <c r="C4" t="s">
        <v>954</v>
      </c>
      <c r="D4" t="s">
        <v>955</v>
      </c>
      <c r="E4" t="s">
        <v>960</v>
      </c>
      <c r="F4">
        <v>1500000</v>
      </c>
    </row>
    <row r="5" spans="1:6" x14ac:dyDescent="0.45">
      <c r="A5" t="s">
        <v>961</v>
      </c>
      <c r="B5" t="s">
        <v>70</v>
      </c>
      <c r="C5" t="s">
        <v>954</v>
      </c>
      <c r="D5" t="s">
        <v>955</v>
      </c>
      <c r="E5" t="s">
        <v>962</v>
      </c>
      <c r="F5">
        <v>1200000</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7"/>
  <sheetViews>
    <sheetView workbookViewId="0">
      <selection activeCell="B12" sqref="B12"/>
    </sheetView>
  </sheetViews>
  <sheetFormatPr defaultRowHeight="14.25" x14ac:dyDescent="0.45"/>
  <cols>
    <col min="1" max="1" width="14.19921875" customWidth="1"/>
  </cols>
  <sheetData>
    <row r="1" spans="1:13" x14ac:dyDescent="0.45">
      <c r="A1" s="1" t="s">
        <v>970</v>
      </c>
      <c r="B1" s="1" t="s">
        <v>144</v>
      </c>
      <c r="C1" s="1" t="s">
        <v>55</v>
      </c>
      <c r="D1" s="1" t="s">
        <v>130</v>
      </c>
      <c r="E1" s="1" t="s">
        <v>77</v>
      </c>
      <c r="F1" s="1" t="s">
        <v>72</v>
      </c>
      <c r="G1" s="1" t="s">
        <v>46</v>
      </c>
      <c r="H1" s="1" t="s">
        <v>155</v>
      </c>
      <c r="I1" s="1" t="s">
        <v>123</v>
      </c>
      <c r="J1" s="1" t="s">
        <v>89</v>
      </c>
      <c r="K1" s="1" t="s">
        <v>35</v>
      </c>
      <c r="L1" s="1" t="s">
        <v>67</v>
      </c>
      <c r="M1" s="1" t="s">
        <v>113</v>
      </c>
    </row>
    <row r="2" spans="1:13" x14ac:dyDescent="0.45">
      <c r="A2" t="s">
        <v>963</v>
      </c>
      <c r="B2">
        <v>3200000</v>
      </c>
      <c r="C2">
        <v>3000000</v>
      </c>
      <c r="D2">
        <v>3400000</v>
      </c>
      <c r="E2">
        <v>3600000</v>
      </c>
      <c r="F2">
        <v>3700000</v>
      </c>
      <c r="G2">
        <v>3500000</v>
      </c>
      <c r="H2">
        <v>3800000</v>
      </c>
      <c r="I2">
        <v>3900000</v>
      </c>
      <c r="J2">
        <v>4000000</v>
      </c>
      <c r="K2">
        <v>4200000</v>
      </c>
      <c r="L2">
        <v>4400000</v>
      </c>
      <c r="M2">
        <v>4600000</v>
      </c>
    </row>
    <row r="5" spans="1:13" x14ac:dyDescent="0.45">
      <c r="A5" t="s">
        <v>970</v>
      </c>
      <c r="B5" t="s">
        <v>123</v>
      </c>
    </row>
    <row r="6" spans="1:13" x14ac:dyDescent="0.45">
      <c r="A6" t="s">
        <v>984</v>
      </c>
      <c r="B6">
        <f>INDEX(Monthly_Target!$A$1:$M$2,MATCH(A6,Monthly_Target!$A$1:$A$2,0),MATCH(B5,Monthly_Target!$A$1:$M$1,0))</f>
        <v>3900000</v>
      </c>
      <c r="C6" t="str">
        <f ca="1">_xlfn.FORMULATEXT(B6)</f>
        <v>=INDEX(Monthly_Target!$A$1:$M$2,MATCH(A6,Monthly_Target!$A$1:$A$2,0),MATCH(B5,Monthly_Target!$A$1:$M$1,0))</v>
      </c>
    </row>
    <row r="7" spans="1:13" x14ac:dyDescent="0.45">
      <c r="B7">
        <f>INDEX($A$1:$M$2,MATCH(A6,A1:A2,0),MATCH(B5,A1:M1,0))</f>
        <v>3900000</v>
      </c>
      <c r="C7" t="str">
        <f ca="1">_xlfn.FORMULATEXT(B7)</f>
        <v>=INDEX($A$1:$M$2,MATCH(A6,A1:A2,0),MATCH(B5,A1:M1,0))</v>
      </c>
    </row>
  </sheetData>
  <pageMargins left="0.75" right="0.75" top="1" bottom="1" header="0.5" footer="0.5"/>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3"/>
  <sheetViews>
    <sheetView workbookViewId="0">
      <selection activeCell="K13" sqref="K13"/>
    </sheetView>
  </sheetViews>
  <sheetFormatPr defaultRowHeight="14.25" x14ac:dyDescent="0.45"/>
  <cols>
    <col min="2" max="2" width="12.6640625" customWidth="1"/>
  </cols>
  <sheetData>
    <row r="1" spans="1:14" x14ac:dyDescent="0.45">
      <c r="A1" s="4"/>
      <c r="B1" s="4"/>
    </row>
    <row r="2" spans="1:14" x14ac:dyDescent="0.45">
      <c r="A2" s="5"/>
      <c r="B2" s="5"/>
    </row>
    <row r="3" spans="1:14" x14ac:dyDescent="0.45">
      <c r="A3" s="4"/>
      <c r="B3" s="4"/>
      <c r="J3" s="7"/>
      <c r="K3" s="7"/>
      <c r="L3" s="7"/>
      <c r="M3" s="7"/>
      <c r="N3" s="7"/>
    </row>
    <row r="4" spans="1:14" x14ac:dyDescent="0.45">
      <c r="A4" s="5"/>
      <c r="B4" s="5"/>
      <c r="J4" s="7"/>
      <c r="K4" s="7"/>
      <c r="L4" s="7"/>
      <c r="M4" s="7"/>
      <c r="N4" s="7"/>
    </row>
    <row r="5" spans="1:14" x14ac:dyDescent="0.45">
      <c r="A5" s="5"/>
      <c r="B5" s="5"/>
    </row>
    <row r="6" spans="1:14" x14ac:dyDescent="0.45">
      <c r="A6" s="5"/>
      <c r="B6" s="5"/>
      <c r="E6" s="6" t="s">
        <v>975</v>
      </c>
      <c r="F6" s="7"/>
      <c r="G6" s="7"/>
      <c r="H6" s="7"/>
      <c r="I6" s="7"/>
      <c r="J6" s="7"/>
    </row>
    <row r="7" spans="1:14" x14ac:dyDescent="0.45">
      <c r="E7" s="7" t="s">
        <v>974</v>
      </c>
      <c r="F7" s="7"/>
      <c r="G7" s="7"/>
      <c r="H7" s="7"/>
      <c r="I7" s="7"/>
      <c r="J7" s="7"/>
    </row>
    <row r="8" spans="1:14" x14ac:dyDescent="0.45">
      <c r="A8" s="4" t="s">
        <v>971</v>
      </c>
      <c r="B8" s="4" t="s">
        <v>972</v>
      </c>
    </row>
    <row r="9" spans="1:14" ht="28.5" x14ac:dyDescent="0.45">
      <c r="A9" s="5" t="s">
        <v>976</v>
      </c>
      <c r="B9" s="5" t="s">
        <v>978</v>
      </c>
      <c r="D9">
        <f>HLOOKUP(B9,Monthly_Target[#All],MATCH(A10,Monthly_Target[],0)+1,FALSE)</f>
        <v>3900000</v>
      </c>
      <c r="E9" t="str">
        <f ca="1">_xlfn.FORMULATEXT(D9)</f>
        <v>=HLOOKUP(B9,Monthly_Target[#All],MATCH(A10,Monthly_Target,0)+1,FALSE)</v>
      </c>
    </row>
    <row r="10" spans="1:14" ht="28.5" x14ac:dyDescent="0.45">
      <c r="A10" s="5" t="s">
        <v>963</v>
      </c>
      <c r="B10" s="5" t="s">
        <v>977</v>
      </c>
      <c r="D10">
        <f>HLOOKUP(B9,Monthly_Target[#All],2,0)</f>
        <v>3900000</v>
      </c>
      <c r="E10" t="str">
        <f ca="1">_xlfn.FORMULATEXT(D10)</f>
        <v>=HLOOKUP(B9,Monthly_Target[#All],2,0)</v>
      </c>
    </row>
    <row r="13" spans="1:14" x14ac:dyDescent="0.45">
      <c r="D13">
        <f>INDEX(Monthly_Target[#All],MATCH(A10,Monthly_Target!A1:A2,0),MATCH(B9,Monthly_Target!A1:M1,0))</f>
        <v>3900000</v>
      </c>
      <c r="E13" t="str">
        <f ca="1">_xlfn.FORMULATEXT(D13)</f>
        <v>=INDEX(Monthly_Target[#All],MATCH(A10,Monthly_Target!A1:A2,0),MATCH(B9,Monthly_Target!A1:M1,0))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289E1-4E90-487B-B5E8-4C39FB3056C2}">
  <dimension ref="A1:F4"/>
  <sheetViews>
    <sheetView workbookViewId="0">
      <selection activeCell="D6" sqref="D6"/>
    </sheetView>
  </sheetViews>
  <sheetFormatPr defaultRowHeight="14.25" x14ac:dyDescent="0.45"/>
  <sheetData>
    <row r="1" spans="1:6" x14ac:dyDescent="0.45">
      <c r="A1" s="4" t="s">
        <v>971</v>
      </c>
      <c r="B1" s="4" t="s">
        <v>972</v>
      </c>
    </row>
    <row r="2" spans="1:6" x14ac:dyDescent="0.45">
      <c r="A2" s="5" t="s">
        <v>980</v>
      </c>
      <c r="B2" s="5" t="s">
        <v>75</v>
      </c>
    </row>
    <row r="3" spans="1:6" ht="42.75" x14ac:dyDescent="0.45">
      <c r="A3" s="5" t="s">
        <v>981</v>
      </c>
      <c r="B3" s="5" t="s">
        <v>932</v>
      </c>
      <c r="F3" t="s">
        <v>982</v>
      </c>
    </row>
    <row r="4" spans="1:6" ht="40.15" customHeight="1" x14ac:dyDescent="0.45">
      <c r="A4" s="5" t="s">
        <v>973</v>
      </c>
      <c r="B4" s="5">
        <f>INDEX(Product_Master!$A$2:$F$9,MATCH(B2,Product_Master!$A$2:$A$9,0),MATCH(B3,Product_Master!$A$1:$F$1,0))</f>
        <v>26000</v>
      </c>
      <c r="C4" t="str">
        <f ca="1">_xlfn.FORMULATEXT(B4)</f>
        <v>=INDEX(Product_Master!$A$2:$F$9,MATCH(B2,Product_Master!$A$2:$A$9,0),MATCH(B3,Product_Master!$A$1:$F$1,0))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PVT_Top5_Salespersons</vt:lpstr>
      <vt:lpstr>Top 5 Districts by Net Sales</vt:lpstr>
      <vt:lpstr>Sheet2</vt:lpstr>
      <vt:lpstr>Top 5 Products by Sum of Netsal</vt:lpstr>
      <vt:lpstr>PVT_Monthly_Performance</vt:lpstr>
      <vt:lpstr>PVT_Quarterly_Performance</vt:lpstr>
      <vt:lpstr>PVT_Performance_Benchmark</vt:lpstr>
      <vt:lpstr>Sales_Data</vt:lpstr>
      <vt:lpstr>Product_Master</vt:lpstr>
      <vt:lpstr>vlookup+match</vt:lpstr>
      <vt:lpstr>Employee_Master</vt:lpstr>
      <vt:lpstr>District_Master</vt:lpstr>
      <vt:lpstr>Monthly_Target</vt:lpstr>
      <vt:lpstr>Hlookup+match</vt:lpstr>
      <vt:lpstr>index+match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 shanmugam</cp:lastModifiedBy>
  <dcterms:created xsi:type="dcterms:W3CDTF">2026-08-30T17:51:54Z</dcterms:created>
  <dcterms:modified xsi:type="dcterms:W3CDTF">2026-09-08T18:32:49Z</dcterms:modified>
</cp:coreProperties>
</file>